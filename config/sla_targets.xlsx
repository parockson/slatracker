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P.acquahrockson\Desktop\Sla-tracker\config\"/>
    </mc:Choice>
  </mc:AlternateContent>
  <xr:revisionPtr revIDLastSave="0" documentId="13_ncr:1_{6AD1024E-BAA3-4785-B920-0135BE53DA5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rporate" sheetId="5" r:id="rId1"/>
    <sheet name="Retail" sheetId="2" r:id="rId2"/>
    <sheet name="SMB" sheetId="3" r:id="rId3"/>
  </sheets>
  <definedNames>
    <definedName name="_xlnm._FilterDatabase" localSheetId="0" hidden="1">Corporate!$A$1:$H$117</definedName>
    <definedName name="_xlnm._FilterDatabase" localSheetId="1" hidden="1">Retail!$A$1:$H$12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7" i="5" l="1"/>
  <c r="F96" i="5"/>
  <c r="F75" i="5"/>
  <c r="F73" i="5"/>
  <c r="F38" i="5"/>
  <c r="F25" i="5"/>
  <c r="F114" i="5"/>
  <c r="F111" i="5"/>
  <c r="F101" i="5"/>
  <c r="F67" i="5"/>
  <c r="F53" i="5"/>
  <c r="F52" i="5"/>
  <c r="F34" i="5"/>
  <c r="F33" i="5"/>
  <c r="F30" i="5"/>
  <c r="F90" i="5"/>
  <c r="F80" i="5"/>
  <c r="F79" i="5"/>
</calcChain>
</file>

<file path=xl/sharedStrings.xml><?xml version="1.0" encoding="utf-8"?>
<sst xmlns="http://schemas.openxmlformats.org/spreadsheetml/2006/main" count="487" uniqueCount="84">
  <si>
    <t>Name</t>
  </si>
  <si>
    <t>Category</t>
  </si>
  <si>
    <t>GameKaya (Efini)</t>
  </si>
  <si>
    <t>Collection</t>
  </si>
  <si>
    <t>Disbursement</t>
  </si>
  <si>
    <t>Airtime Purchase</t>
  </si>
  <si>
    <t>AT_TOPUP</t>
  </si>
  <si>
    <t>MPAY</t>
  </si>
  <si>
    <t>rancard_voda</t>
  </si>
  <si>
    <t>YELLOW_CURRENCY_AIRTIME</t>
  </si>
  <si>
    <t>Disbursement Channel Name</t>
  </si>
  <si>
    <t>Data Purchase</t>
  </si>
  <si>
    <t>AT_DATA</t>
  </si>
  <si>
    <t>YELLOW_CURRENCY_DATA</t>
  </si>
  <si>
    <t>Funds Transfer</t>
  </si>
  <si>
    <t>AT Main</t>
  </si>
  <si>
    <t>GHIPPS</t>
  </si>
  <si>
    <t>MTN MAD API</t>
  </si>
  <si>
    <t>MTN_DIRECT_CREDIT</t>
  </si>
  <si>
    <t>Telecel Main</t>
  </si>
  <si>
    <t>Utilities</t>
  </si>
  <si>
    <t>ECG Direct</t>
  </si>
  <si>
    <t>ETRANSACT</t>
  </si>
  <si>
    <t>GH BET</t>
  </si>
  <si>
    <t>Grace Buds Montessori</t>
  </si>
  <si>
    <t>ACCRA HEARTS OF OAK SC</t>
  </si>
  <si>
    <t>HIM INITIATIVE LBG</t>
  </si>
  <si>
    <t>NEW_GWCL</t>
  </si>
  <si>
    <t>Type</t>
  </si>
  <si>
    <t>Min_Amt</t>
  </si>
  <si>
    <t>Max_Amt</t>
  </si>
  <si>
    <t>Target_Value</t>
  </si>
  <si>
    <t>Is_Percentage</t>
  </si>
  <si>
    <t>Limit_Value</t>
  </si>
  <si>
    <t>Flat</t>
  </si>
  <si>
    <t>Tiered</t>
  </si>
  <si>
    <t>Cap</t>
  </si>
  <si>
    <t>Capped</t>
  </si>
  <si>
    <t>BENBOABEN PLUS LIMITED COMPANY</t>
  </si>
  <si>
    <t>Top Connect Limited</t>
  </si>
  <si>
    <t>Remittance</t>
  </si>
  <si>
    <t>-</t>
  </si>
  <si>
    <t>ASANTE KOTOKO SPORTING CLUB LIMITED</t>
  </si>
  <si>
    <t>AYATICKETS LTD.</t>
  </si>
  <si>
    <t>BLUE IDEAR</t>
  </si>
  <si>
    <t>Chatbots Ghana</t>
  </si>
  <si>
    <t>DEVPLUSE TECHNOLOGY</t>
  </si>
  <si>
    <t>Empowerment Worship Center</t>
  </si>
  <si>
    <t>FAITHWORD CHARISMATIC MINISTRIES</t>
  </si>
  <si>
    <t>Ga Rural Bank Limited</t>
  </si>
  <si>
    <t>Group of pages Limited Company</t>
  </si>
  <si>
    <t>Hyper Pay Ghana</t>
  </si>
  <si>
    <t>IGNITIA GHANA LTD</t>
  </si>
  <si>
    <t>INGAME TECHNOLOGY LTD</t>
  </si>
  <si>
    <t>INTERZEN MICROFINANCE LIMITED</t>
  </si>
  <si>
    <t>Jesi Education Technology Ltd.</t>
  </si>
  <si>
    <t>KORBA PAY</t>
  </si>
  <si>
    <t>Kwami Alone Enterprise</t>
  </si>
  <si>
    <t>LUCKYLIVE (FORTULIVE)</t>
  </si>
  <si>
    <t>Loud Company Limited</t>
  </si>
  <si>
    <t>Mighty Service Venture</t>
  </si>
  <si>
    <t>Mobicom Excite</t>
  </si>
  <si>
    <t>POLICE HOSPITAL CO-OPERATIVE CREDIT UNION</t>
  </si>
  <si>
    <t>PRESTO SOLUTIONS</t>
  </si>
  <si>
    <t>Prudential Life</t>
  </si>
  <si>
    <t>ROBSAM TECHNOLOGIES</t>
  </si>
  <si>
    <t>SAVEST TECHNOLOGY LIMITED</t>
  </si>
  <si>
    <t>STASH UP SUSU ENTERPRISE</t>
  </si>
  <si>
    <t>Rancard Solutions</t>
  </si>
  <si>
    <t>Speakupp Digital Services</t>
  </si>
  <si>
    <t>Sunflower</t>
  </si>
  <si>
    <t>TOP MENSAH VENTURES</t>
  </si>
  <si>
    <t>UGCCU</t>
  </si>
  <si>
    <t>VICTORY BIBLE CHURCH INTERNATIONAL</t>
  </si>
  <si>
    <t>WINWIN GAMES</t>
  </si>
  <si>
    <t>WIWI GAMING AND ENTERTAINMENT LIMITED</t>
  </si>
  <si>
    <t>EBONY OIL AND GAS LIMITED</t>
  </si>
  <si>
    <t>ENTERPRISE CLAIMS</t>
  </si>
  <si>
    <t>ENTERPRISE FUNERAL SERVICES GHANA LIMITED</t>
  </si>
  <si>
    <t>Hydro Co-operative Credit Union</t>
  </si>
  <si>
    <t>KRISH TECH ENTERPRISE</t>
  </si>
  <si>
    <t>E-Distribution</t>
  </si>
  <si>
    <t>Omni Group Ghana ltd</t>
  </si>
  <si>
    <t>Loyalty Insurance Disbursement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</si>
</sst>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00_);_(* \(#,##0.000\);_(* &quot;-&quot;??_);_(@_)"/>
    <numFmt numFmtId="165" formatCode="_(* #,##0.0000_);_(* \(#,##0.000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CCCCCC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left" indent="1"/>
    </xf>
    <xf numFmtId="164" fontId="0" fillId="0" borderId="0" xfId="1" applyNumberFormat="1" applyFont="1"/>
    <xf numFmtId="164" fontId="1" fillId="0" borderId="0" xfId="1" applyNumberFormat="1" applyFont="1"/>
    <xf numFmtId="0" fontId="0" fillId="0" borderId="1" xfId="0" applyBorder="1" applyAlignment="1">
      <alignment horizontal="left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right" wrapText="1"/>
    </xf>
    <xf numFmtId="0" fontId="2" fillId="0" borderId="2" xfId="0" applyFont="1" applyBorder="1" applyAlignment="1">
      <alignment horizontal="center" wrapText="1"/>
    </xf>
    <xf numFmtId="43" fontId="2" fillId="0" borderId="2" xfId="1" applyFont="1" applyBorder="1" applyAlignment="1">
      <alignment wrapText="1"/>
    </xf>
    <xf numFmtId="43" fontId="2" fillId="0" borderId="2" xfId="1" applyFont="1" applyBorder="1" applyAlignment="1">
      <alignment horizontal="right" wrapText="1"/>
    </xf>
    <xf numFmtId="43" fontId="0" fillId="0" borderId="0" xfId="1" applyFont="1"/>
    <xf numFmtId="165" fontId="2" fillId="0" borderId="2" xfId="1" applyNumberFormat="1" applyFont="1" applyBorder="1" applyAlignment="1">
      <alignment wrapText="1"/>
    </xf>
    <xf numFmtId="165" fontId="2" fillId="0" borderId="2" xfId="1" applyNumberFormat="1" applyFont="1" applyBorder="1" applyAlignment="1">
      <alignment horizontal="right" wrapText="1"/>
    </xf>
    <xf numFmtId="165" fontId="0" fillId="0" borderId="0" xfId="1" applyNumberFormat="1" applyFont="1"/>
    <xf numFmtId="0" fontId="0" fillId="0" borderId="0" xfId="0" applyAlignment="1">
      <alignment vertical="center" wrapText="1"/>
    </xf>
    <xf numFmtId="0" fontId="2" fillId="0" borderId="3" xfId="0" applyFont="1" applyBorder="1" applyAlignment="1">
      <alignment wrapText="1"/>
    </xf>
    <xf numFmtId="0" fontId="2" fillId="0" borderId="3" xfId="0" applyFont="1" applyBorder="1" applyAlignment="1">
      <alignment horizontal="right" wrapText="1"/>
    </xf>
    <xf numFmtId="0" fontId="2" fillId="0" borderId="3" xfId="0" applyFont="1" applyBorder="1" applyAlignment="1">
      <alignment horizontal="center" wrapText="1"/>
    </xf>
    <xf numFmtId="0" fontId="2" fillId="0" borderId="4" xfId="0" applyFont="1" applyBorder="1" applyAlignment="1">
      <alignment wrapText="1"/>
    </xf>
    <xf numFmtId="0" fontId="0" fillId="0" borderId="3" xfId="0" applyBorder="1"/>
    <xf numFmtId="0" fontId="2" fillId="0" borderId="0" xfId="0" applyFont="1" applyBorder="1" applyAlignment="1">
      <alignment wrapText="1"/>
    </xf>
    <xf numFmtId="0" fontId="0" fillId="0" borderId="2" xfId="0" applyBorder="1" applyAlignment="1">
      <alignment vertical="center" wrapText="1"/>
    </xf>
    <xf numFmtId="0" fontId="2" fillId="0" borderId="0" xfId="0" applyFont="1" applyBorder="1" applyAlignment="1">
      <alignment horizontal="right" wrapText="1"/>
    </xf>
    <xf numFmtId="165" fontId="0" fillId="0" borderId="2" xfId="1" applyNumberFormat="1" applyFont="1" applyBorder="1"/>
    <xf numFmtId="165" fontId="2" fillId="0" borderId="0" xfId="1" applyNumberFormat="1" applyFont="1" applyBorder="1" applyAlignment="1">
      <alignment horizontal="right" wrapText="1"/>
    </xf>
    <xf numFmtId="0" fontId="2" fillId="0" borderId="0" xfId="0" applyFont="1" applyBorder="1" applyAlignment="1">
      <alignment horizontal="center" wrapText="1"/>
    </xf>
    <xf numFmtId="43" fontId="0" fillId="0" borderId="2" xfId="1" applyFont="1" applyBorder="1"/>
    <xf numFmtId="43" fontId="2" fillId="0" borderId="0" xfId="1" applyFont="1" applyBorder="1" applyAlignment="1">
      <alignment wrapText="1"/>
    </xf>
    <xf numFmtId="43" fontId="2" fillId="0" borderId="0" xfId="1" applyFont="1" applyBorder="1" applyAlignment="1">
      <alignment horizontal="right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F54FD-ED78-4E4A-BD37-CDE3D203AAB7}">
  <sheetPr filterMode="1"/>
  <dimension ref="A1:H118"/>
  <sheetViews>
    <sheetView tabSelected="1" workbookViewId="0">
      <pane ySplit="1" topLeftCell="A2" activePane="bottomLeft" state="frozen"/>
      <selection pane="bottomLeft" activeCell="H119" sqref="H119"/>
    </sheetView>
  </sheetViews>
  <sheetFormatPr defaultColWidth="25.54296875" defaultRowHeight="14.5" x14ac:dyDescent="0.35"/>
  <cols>
    <col min="1" max="1" width="12.453125" bestFit="1" customWidth="1"/>
    <col min="2" max="2" width="41.54296875" bestFit="1" customWidth="1"/>
    <col min="3" max="3" width="7.08984375" bestFit="1" customWidth="1"/>
    <col min="4" max="4" width="10.08984375" bestFit="1" customWidth="1"/>
    <col min="5" max="5" width="10.6328125" bestFit="1" customWidth="1"/>
    <col min="6" max="6" width="14.36328125" style="13" bestFit="1" customWidth="1"/>
    <col min="7" max="7" width="14.7265625" bestFit="1" customWidth="1"/>
    <col min="8" max="8" width="12.81640625" style="10" bestFit="1" customWidth="1"/>
  </cols>
  <sheetData>
    <row r="1" spans="1:8" ht="15" thickBot="1" x14ac:dyDescent="0.4">
      <c r="A1" t="s">
        <v>1</v>
      </c>
      <c r="B1" s="5" t="s">
        <v>0</v>
      </c>
      <c r="C1" s="5" t="s">
        <v>28</v>
      </c>
      <c r="D1" s="5" t="s">
        <v>29</v>
      </c>
      <c r="E1" s="5" t="s">
        <v>30</v>
      </c>
      <c r="F1" s="11" t="s">
        <v>31</v>
      </c>
      <c r="G1" s="5" t="s">
        <v>32</v>
      </c>
      <c r="H1" s="8" t="s">
        <v>33</v>
      </c>
    </row>
    <row r="2" spans="1:8" ht="15" hidden="1" thickBot="1" x14ac:dyDescent="0.4">
      <c r="A2" s="5" t="s">
        <v>3</v>
      </c>
      <c r="B2" s="5" t="s">
        <v>25</v>
      </c>
      <c r="C2" s="5" t="s">
        <v>34</v>
      </c>
      <c r="D2" s="6">
        <v>0</v>
      </c>
      <c r="E2" s="6">
        <v>999999</v>
      </c>
      <c r="F2" s="12">
        <v>0.02</v>
      </c>
      <c r="G2" s="7" t="b">
        <v>1</v>
      </c>
      <c r="H2" s="8">
        <v>0</v>
      </c>
    </row>
    <row r="3" spans="1:8" ht="15" hidden="1" thickBot="1" x14ac:dyDescent="0.4">
      <c r="A3" s="5" t="s">
        <v>3</v>
      </c>
      <c r="B3" s="21" t="s">
        <v>42</v>
      </c>
      <c r="C3" s="5" t="s">
        <v>34</v>
      </c>
      <c r="D3" s="6">
        <v>0</v>
      </c>
      <c r="E3" s="6">
        <v>999999</v>
      </c>
      <c r="F3" s="23">
        <v>0.05</v>
      </c>
      <c r="G3" s="7" t="b">
        <v>1</v>
      </c>
      <c r="H3" s="26">
        <v>0</v>
      </c>
    </row>
    <row r="4" spans="1:8" ht="15" hidden="1" thickBot="1" x14ac:dyDescent="0.4">
      <c r="A4" s="5" t="s">
        <v>3</v>
      </c>
      <c r="B4" s="21" t="s">
        <v>43</v>
      </c>
      <c r="C4" s="5" t="s">
        <v>34</v>
      </c>
      <c r="D4" s="6">
        <v>0</v>
      </c>
      <c r="E4" s="6">
        <v>999999</v>
      </c>
      <c r="F4" s="23">
        <v>1.4999999999999999E-2</v>
      </c>
      <c r="G4" s="7" t="b">
        <v>1</v>
      </c>
      <c r="H4" s="26">
        <v>0</v>
      </c>
    </row>
    <row r="5" spans="1:8" ht="15" hidden="1" thickBot="1" x14ac:dyDescent="0.4">
      <c r="A5" s="5" t="s">
        <v>3</v>
      </c>
      <c r="B5" s="5" t="s">
        <v>38</v>
      </c>
      <c r="C5" s="5" t="s">
        <v>35</v>
      </c>
      <c r="D5" s="6">
        <v>1</v>
      </c>
      <c r="E5" s="6">
        <v>50.99</v>
      </c>
      <c r="F5" s="12">
        <v>1</v>
      </c>
      <c r="G5" s="7" t="b">
        <v>0</v>
      </c>
      <c r="H5" s="8">
        <v>0</v>
      </c>
    </row>
    <row r="6" spans="1:8" ht="15" hidden="1" thickBot="1" x14ac:dyDescent="0.4">
      <c r="A6" s="5" t="s">
        <v>3</v>
      </c>
      <c r="B6" s="5" t="s">
        <v>38</v>
      </c>
      <c r="C6" s="5" t="s">
        <v>35</v>
      </c>
      <c r="D6" s="6">
        <v>51</v>
      </c>
      <c r="E6" s="6">
        <v>100.99</v>
      </c>
      <c r="F6" s="12">
        <v>1.5</v>
      </c>
      <c r="G6" s="7" t="b">
        <v>0</v>
      </c>
      <c r="H6" s="8">
        <v>0</v>
      </c>
    </row>
    <row r="7" spans="1:8" ht="15" hidden="1" thickBot="1" x14ac:dyDescent="0.4">
      <c r="A7" s="5" t="s">
        <v>3</v>
      </c>
      <c r="B7" s="5" t="s">
        <v>38</v>
      </c>
      <c r="C7" s="5" t="s">
        <v>35</v>
      </c>
      <c r="D7" s="6">
        <v>101</v>
      </c>
      <c r="E7" s="6">
        <v>2000.99</v>
      </c>
      <c r="F7" s="12">
        <v>1.4999999999999999E-2</v>
      </c>
      <c r="G7" s="7" t="b">
        <v>1</v>
      </c>
      <c r="H7" s="8">
        <v>0</v>
      </c>
    </row>
    <row r="8" spans="1:8" ht="15" hidden="1" thickBot="1" x14ac:dyDescent="0.4">
      <c r="A8" s="5" t="s">
        <v>3</v>
      </c>
      <c r="B8" s="5" t="s">
        <v>38</v>
      </c>
      <c r="C8" s="5" t="s">
        <v>36</v>
      </c>
      <c r="D8" s="6">
        <v>2001</v>
      </c>
      <c r="E8" s="6">
        <v>999999</v>
      </c>
      <c r="F8" s="12">
        <v>30</v>
      </c>
      <c r="G8" s="7" t="b">
        <v>0</v>
      </c>
      <c r="H8" s="9">
        <v>30</v>
      </c>
    </row>
    <row r="9" spans="1:8" ht="15" hidden="1" thickBot="1" x14ac:dyDescent="0.4">
      <c r="A9" s="5" t="s">
        <v>4</v>
      </c>
      <c r="B9" s="5" t="s">
        <v>38</v>
      </c>
      <c r="C9" s="5" t="s">
        <v>35</v>
      </c>
      <c r="D9" s="6">
        <v>1</v>
      </c>
      <c r="E9" s="6">
        <v>50.99</v>
      </c>
      <c r="F9" s="12">
        <v>1</v>
      </c>
      <c r="G9" s="7" t="b">
        <v>0</v>
      </c>
      <c r="H9" s="8">
        <v>0</v>
      </c>
    </row>
    <row r="10" spans="1:8" ht="15" hidden="1" thickBot="1" x14ac:dyDescent="0.4">
      <c r="A10" s="5" t="s">
        <v>4</v>
      </c>
      <c r="B10" s="5" t="s">
        <v>38</v>
      </c>
      <c r="C10" s="5" t="s">
        <v>35</v>
      </c>
      <c r="D10" s="6">
        <v>51</v>
      </c>
      <c r="E10" s="6">
        <v>100.99</v>
      </c>
      <c r="F10" s="12">
        <v>1</v>
      </c>
      <c r="G10" s="7" t="b">
        <v>0</v>
      </c>
      <c r="H10" s="8">
        <v>0</v>
      </c>
    </row>
    <row r="11" spans="1:8" ht="15" hidden="1" thickBot="1" x14ac:dyDescent="0.4">
      <c r="A11" s="5" t="s">
        <v>4</v>
      </c>
      <c r="B11" s="5" t="s">
        <v>38</v>
      </c>
      <c r="C11" s="5" t="s">
        <v>35</v>
      </c>
      <c r="D11" s="6">
        <v>101</v>
      </c>
      <c r="E11" s="6">
        <v>2000.99</v>
      </c>
      <c r="F11" s="12">
        <v>0.01</v>
      </c>
      <c r="G11" s="7" t="b">
        <v>1</v>
      </c>
      <c r="H11" s="8">
        <v>0</v>
      </c>
    </row>
    <row r="12" spans="1:8" ht="15" hidden="1" thickBot="1" x14ac:dyDescent="0.4">
      <c r="A12" s="5" t="s">
        <v>4</v>
      </c>
      <c r="B12" s="5" t="s">
        <v>38</v>
      </c>
      <c r="C12" s="5" t="s">
        <v>36</v>
      </c>
      <c r="D12" s="6">
        <v>2001</v>
      </c>
      <c r="E12" s="6">
        <v>999999</v>
      </c>
      <c r="F12" s="12">
        <v>0.01</v>
      </c>
      <c r="G12" s="7" t="b">
        <v>1</v>
      </c>
      <c r="H12" s="9">
        <v>20</v>
      </c>
    </row>
    <row r="13" spans="1:8" ht="15" hidden="1" thickBot="1" x14ac:dyDescent="0.4">
      <c r="A13" s="5" t="s">
        <v>81</v>
      </c>
      <c r="B13" s="5" t="s">
        <v>38</v>
      </c>
      <c r="C13" s="5" t="s">
        <v>34</v>
      </c>
      <c r="D13" s="6">
        <v>0</v>
      </c>
      <c r="E13" s="6">
        <v>999999</v>
      </c>
      <c r="F13" s="12">
        <v>0.01</v>
      </c>
      <c r="G13" s="7" t="b">
        <v>1</v>
      </c>
      <c r="H13" s="9">
        <v>0</v>
      </c>
    </row>
    <row r="14" spans="1:8" ht="15" hidden="1" thickBot="1" x14ac:dyDescent="0.4">
      <c r="A14" s="5" t="s">
        <v>3</v>
      </c>
      <c r="B14" s="21" t="s">
        <v>44</v>
      </c>
      <c r="C14" s="5" t="s">
        <v>34</v>
      </c>
      <c r="D14" s="6">
        <v>0</v>
      </c>
      <c r="E14" s="6">
        <v>999999</v>
      </c>
      <c r="F14" s="23">
        <v>1.4999999999999999E-2</v>
      </c>
      <c r="G14" s="7" t="b">
        <v>1</v>
      </c>
      <c r="H14" s="26">
        <v>0</v>
      </c>
    </row>
    <row r="15" spans="1:8" ht="15" hidden="1" thickBot="1" x14ac:dyDescent="0.4">
      <c r="A15" s="5" t="s">
        <v>3</v>
      </c>
      <c r="B15" s="21" t="s">
        <v>45</v>
      </c>
      <c r="C15" s="5" t="s">
        <v>34</v>
      </c>
      <c r="D15" s="6">
        <v>0</v>
      </c>
      <c r="E15" s="6">
        <v>999999</v>
      </c>
      <c r="F15" s="23">
        <v>0.02</v>
      </c>
      <c r="G15" s="7" t="b">
        <v>1</v>
      </c>
      <c r="H15" s="26">
        <v>0</v>
      </c>
    </row>
    <row r="16" spans="1:8" ht="15" hidden="1" thickBot="1" x14ac:dyDescent="0.4">
      <c r="A16" s="5" t="s">
        <v>3</v>
      </c>
      <c r="B16" s="21" t="s">
        <v>46</v>
      </c>
      <c r="C16" s="5" t="s">
        <v>35</v>
      </c>
      <c r="D16" s="6">
        <v>1</v>
      </c>
      <c r="E16" s="6">
        <v>50.99</v>
      </c>
      <c r="F16" s="23">
        <v>1</v>
      </c>
      <c r="G16" s="7" t="b">
        <v>0</v>
      </c>
      <c r="H16" s="26">
        <v>0</v>
      </c>
    </row>
    <row r="17" spans="1:8" ht="15" hidden="1" thickBot="1" x14ac:dyDescent="0.4">
      <c r="A17" s="5" t="s">
        <v>3</v>
      </c>
      <c r="B17" s="21" t="s">
        <v>46</v>
      </c>
      <c r="C17" s="5" t="s">
        <v>35</v>
      </c>
      <c r="D17" s="6">
        <v>51</v>
      </c>
      <c r="E17" s="6">
        <v>100.99</v>
      </c>
      <c r="F17" s="23">
        <v>1.5</v>
      </c>
      <c r="G17" s="7" t="b">
        <v>0</v>
      </c>
      <c r="H17" s="26">
        <v>0</v>
      </c>
    </row>
    <row r="18" spans="1:8" ht="15" hidden="1" thickBot="1" x14ac:dyDescent="0.4">
      <c r="A18" s="5" t="s">
        <v>3</v>
      </c>
      <c r="B18" s="21" t="s">
        <v>46</v>
      </c>
      <c r="C18" s="5" t="s">
        <v>35</v>
      </c>
      <c r="D18" s="6">
        <v>101</v>
      </c>
      <c r="E18" s="6">
        <v>2000.99</v>
      </c>
      <c r="F18" s="23">
        <v>1.4999999999999999E-2</v>
      </c>
      <c r="G18" s="7" t="b">
        <v>1</v>
      </c>
      <c r="H18" s="26">
        <v>0</v>
      </c>
    </row>
    <row r="19" spans="1:8" ht="15" hidden="1" thickBot="1" x14ac:dyDescent="0.4">
      <c r="A19" s="5" t="s">
        <v>3</v>
      </c>
      <c r="B19" s="21" t="s">
        <v>46</v>
      </c>
      <c r="C19" s="5" t="s">
        <v>36</v>
      </c>
      <c r="D19" s="6">
        <v>2001</v>
      </c>
      <c r="E19" s="6">
        <v>999999</v>
      </c>
      <c r="F19" s="23">
        <v>30</v>
      </c>
      <c r="G19" s="7" t="b">
        <v>0</v>
      </c>
      <c r="H19" s="26">
        <v>30</v>
      </c>
    </row>
    <row r="20" spans="1:8" ht="15" hidden="1" thickBot="1" x14ac:dyDescent="0.4">
      <c r="A20" s="5" t="s">
        <v>4</v>
      </c>
      <c r="B20" s="21" t="s">
        <v>46</v>
      </c>
      <c r="C20" s="5" t="s">
        <v>35</v>
      </c>
      <c r="D20" s="6">
        <v>1</v>
      </c>
      <c r="E20" s="6">
        <v>100.99</v>
      </c>
      <c r="F20" s="23">
        <v>1</v>
      </c>
      <c r="G20" s="7" t="b">
        <v>0</v>
      </c>
      <c r="H20" s="26">
        <v>0</v>
      </c>
    </row>
    <row r="21" spans="1:8" ht="15" hidden="1" thickBot="1" x14ac:dyDescent="0.4">
      <c r="A21" s="5" t="s">
        <v>4</v>
      </c>
      <c r="B21" s="21" t="s">
        <v>46</v>
      </c>
      <c r="C21" s="5" t="s">
        <v>35</v>
      </c>
      <c r="D21" s="6">
        <v>101</v>
      </c>
      <c r="E21" s="6">
        <v>2000.99</v>
      </c>
      <c r="F21" s="23">
        <v>0.01</v>
      </c>
      <c r="G21" s="7" t="b">
        <v>1</v>
      </c>
      <c r="H21" s="26">
        <v>0</v>
      </c>
    </row>
    <row r="22" spans="1:8" hidden="1" x14ac:dyDescent="0.35">
      <c r="A22" s="15" t="s">
        <v>4</v>
      </c>
      <c r="B22" s="14" t="s">
        <v>46</v>
      </c>
      <c r="C22" s="15" t="s">
        <v>36</v>
      </c>
      <c r="D22" s="16">
        <v>2001</v>
      </c>
      <c r="E22" s="16">
        <v>999999</v>
      </c>
      <c r="F22" s="13">
        <v>20</v>
      </c>
      <c r="G22" s="17" t="b">
        <v>0</v>
      </c>
      <c r="H22" s="10">
        <v>20</v>
      </c>
    </row>
    <row r="23" spans="1:8" hidden="1" x14ac:dyDescent="0.35">
      <c r="A23" s="19" t="s">
        <v>3</v>
      </c>
      <c r="B23" s="14" t="s">
        <v>46</v>
      </c>
      <c r="C23" s="15" t="s">
        <v>35</v>
      </c>
      <c r="D23" s="16">
        <v>0</v>
      </c>
      <c r="E23" s="16">
        <v>50.99</v>
      </c>
      <c r="F23" s="13">
        <v>1</v>
      </c>
      <c r="G23" s="17" t="b">
        <v>0</v>
      </c>
      <c r="H23" s="10">
        <v>0</v>
      </c>
    </row>
    <row r="24" spans="1:8" hidden="1" x14ac:dyDescent="0.35">
      <c r="A24" s="19" t="s">
        <v>3</v>
      </c>
      <c r="B24" s="14" t="s">
        <v>46</v>
      </c>
      <c r="C24" s="15" t="s">
        <v>35</v>
      </c>
      <c r="D24" s="16">
        <v>51</v>
      </c>
      <c r="E24" s="16">
        <v>100.99</v>
      </c>
      <c r="F24" s="13">
        <v>1.5</v>
      </c>
      <c r="G24" s="17" t="b">
        <v>0</v>
      </c>
      <c r="H24" s="10">
        <v>0</v>
      </c>
    </row>
    <row r="25" spans="1:8" hidden="1" x14ac:dyDescent="0.35">
      <c r="A25" s="19" t="s">
        <v>3</v>
      </c>
      <c r="B25" s="14" t="s">
        <v>46</v>
      </c>
      <c r="C25" s="15" t="s">
        <v>35</v>
      </c>
      <c r="D25" s="16">
        <v>101</v>
      </c>
      <c r="E25" s="16">
        <v>2000.99</v>
      </c>
      <c r="F25" s="13">
        <f>1.5%</f>
        <v>1.4999999999999999E-2</v>
      </c>
      <c r="G25" s="17" t="b">
        <v>1</v>
      </c>
      <c r="H25" s="10">
        <v>0</v>
      </c>
    </row>
    <row r="26" spans="1:8" hidden="1" x14ac:dyDescent="0.35">
      <c r="A26" s="19" t="s">
        <v>3</v>
      </c>
      <c r="B26" s="14" t="s">
        <v>46</v>
      </c>
      <c r="C26" s="15" t="s">
        <v>36</v>
      </c>
      <c r="D26" s="16">
        <v>2001</v>
      </c>
      <c r="E26" s="16">
        <v>999999</v>
      </c>
      <c r="F26" s="13">
        <v>30</v>
      </c>
      <c r="G26" s="17" t="b">
        <v>0</v>
      </c>
      <c r="H26" s="10">
        <v>30</v>
      </c>
    </row>
    <row r="27" spans="1:8" hidden="1" x14ac:dyDescent="0.35">
      <c r="A27" s="19" t="s">
        <v>4</v>
      </c>
      <c r="B27" s="14" t="s">
        <v>46</v>
      </c>
      <c r="C27" s="15" t="s">
        <v>35</v>
      </c>
      <c r="D27" s="16">
        <v>0</v>
      </c>
      <c r="E27" s="16">
        <v>100.99</v>
      </c>
      <c r="F27" s="13">
        <v>1</v>
      </c>
      <c r="G27" s="17" t="b">
        <v>0</v>
      </c>
      <c r="H27" s="10">
        <v>0</v>
      </c>
    </row>
    <row r="28" spans="1:8" hidden="1" x14ac:dyDescent="0.35">
      <c r="A28" s="19" t="s">
        <v>4</v>
      </c>
      <c r="B28" s="14" t="s">
        <v>46</v>
      </c>
      <c r="C28" s="15" t="s">
        <v>35</v>
      </c>
      <c r="D28" s="16">
        <v>101</v>
      </c>
      <c r="E28" s="16">
        <v>2000.99</v>
      </c>
      <c r="F28" s="13">
        <v>1.5</v>
      </c>
      <c r="G28" s="17" t="b">
        <v>1</v>
      </c>
      <c r="H28" s="10">
        <v>0</v>
      </c>
    </row>
    <row r="29" spans="1:8" hidden="1" x14ac:dyDescent="0.35">
      <c r="A29" s="19" t="s">
        <v>4</v>
      </c>
      <c r="B29" s="14" t="s">
        <v>46</v>
      </c>
      <c r="C29" s="15" t="s">
        <v>36</v>
      </c>
      <c r="D29" s="16">
        <v>2001</v>
      </c>
      <c r="E29" s="16">
        <v>999999</v>
      </c>
      <c r="F29" s="13">
        <v>20</v>
      </c>
      <c r="G29" s="17" t="b">
        <v>0</v>
      </c>
      <c r="H29" s="10">
        <v>20</v>
      </c>
    </row>
    <row r="30" spans="1:8" hidden="1" x14ac:dyDescent="0.35">
      <c r="A30" s="15" t="s">
        <v>4</v>
      </c>
      <c r="B30" s="14" t="s">
        <v>76</v>
      </c>
      <c r="C30" s="15" t="s">
        <v>34</v>
      </c>
      <c r="D30" s="16">
        <v>1</v>
      </c>
      <c r="E30" s="16">
        <v>999999</v>
      </c>
      <c r="F30" s="13">
        <f>0.5%</f>
        <v>5.0000000000000001E-3</v>
      </c>
      <c r="G30" s="17" t="b">
        <v>1</v>
      </c>
      <c r="H30" s="10">
        <v>0</v>
      </c>
    </row>
    <row r="31" spans="1:8" hidden="1" x14ac:dyDescent="0.35">
      <c r="A31" s="15" t="s">
        <v>3</v>
      </c>
      <c r="B31" s="14" t="s">
        <v>47</v>
      </c>
      <c r="C31" s="15" t="s">
        <v>34</v>
      </c>
      <c r="D31" s="16">
        <v>1</v>
      </c>
      <c r="E31" s="16">
        <v>999999</v>
      </c>
      <c r="F31" s="13">
        <v>0.02</v>
      </c>
      <c r="G31" s="17" t="b">
        <v>1</v>
      </c>
      <c r="H31" s="10">
        <v>0</v>
      </c>
    </row>
    <row r="32" spans="1:8" hidden="1" x14ac:dyDescent="0.35">
      <c r="A32" s="15" t="s">
        <v>4</v>
      </c>
      <c r="B32" s="14" t="s">
        <v>77</v>
      </c>
      <c r="C32" s="15" t="s">
        <v>34</v>
      </c>
      <c r="D32" s="16">
        <v>1</v>
      </c>
      <c r="E32" s="16">
        <v>999999</v>
      </c>
      <c r="F32" s="13">
        <v>1</v>
      </c>
      <c r="G32" s="17" t="b">
        <v>0</v>
      </c>
      <c r="H32" s="10">
        <v>0</v>
      </c>
    </row>
    <row r="33" spans="1:8" hidden="1" x14ac:dyDescent="0.35">
      <c r="A33" s="15" t="s">
        <v>3</v>
      </c>
      <c r="B33" s="14" t="s">
        <v>78</v>
      </c>
      <c r="C33" s="15" t="s">
        <v>34</v>
      </c>
      <c r="D33" s="16">
        <v>1</v>
      </c>
      <c r="E33" s="16">
        <v>999999</v>
      </c>
      <c r="F33" s="13">
        <f>2%</f>
        <v>0.02</v>
      </c>
      <c r="G33" s="17" t="b">
        <v>1</v>
      </c>
      <c r="H33" s="10">
        <v>0</v>
      </c>
    </row>
    <row r="34" spans="1:8" hidden="1" x14ac:dyDescent="0.35">
      <c r="A34" s="15" t="s">
        <v>4</v>
      </c>
      <c r="B34" s="14" t="s">
        <v>78</v>
      </c>
      <c r="C34" s="15" t="s">
        <v>36</v>
      </c>
      <c r="D34" s="16">
        <v>1</v>
      </c>
      <c r="E34" s="16">
        <v>1000.99</v>
      </c>
      <c r="F34" s="13">
        <f>0.5%</f>
        <v>5.0000000000000001E-3</v>
      </c>
      <c r="G34" s="17" t="b">
        <v>1</v>
      </c>
      <c r="H34" s="10">
        <v>5</v>
      </c>
    </row>
    <row r="35" spans="1:8" hidden="1" x14ac:dyDescent="0.35">
      <c r="A35" s="15" t="s">
        <v>3</v>
      </c>
      <c r="B35" s="14" t="s">
        <v>48</v>
      </c>
      <c r="C35" s="15" t="s">
        <v>34</v>
      </c>
      <c r="D35" s="16">
        <v>1</v>
      </c>
      <c r="E35" s="16">
        <v>999999</v>
      </c>
      <c r="F35" s="13">
        <v>1.4999999999999999E-2</v>
      </c>
      <c r="G35" s="17" t="b">
        <v>1</v>
      </c>
      <c r="H35" s="10">
        <v>0</v>
      </c>
    </row>
    <row r="36" spans="1:8" hidden="1" x14ac:dyDescent="0.35">
      <c r="A36" s="15" t="s">
        <v>3</v>
      </c>
      <c r="B36" s="14" t="s">
        <v>49</v>
      </c>
      <c r="C36" s="15" t="s">
        <v>34</v>
      </c>
      <c r="D36" s="16">
        <v>0</v>
      </c>
      <c r="E36" s="16">
        <v>999999</v>
      </c>
      <c r="F36" s="13">
        <v>0.01</v>
      </c>
      <c r="G36" s="17" t="b">
        <v>1</v>
      </c>
      <c r="H36" s="10">
        <v>0</v>
      </c>
    </row>
    <row r="37" spans="1:8" hidden="1" x14ac:dyDescent="0.35">
      <c r="A37" s="15" t="s">
        <v>4</v>
      </c>
      <c r="B37" s="14" t="s">
        <v>49</v>
      </c>
      <c r="C37" s="15" t="s">
        <v>36</v>
      </c>
      <c r="D37" s="16">
        <v>0</v>
      </c>
      <c r="E37" s="16">
        <v>999999</v>
      </c>
      <c r="F37" s="13">
        <v>1</v>
      </c>
      <c r="G37" s="17" t="b">
        <v>0</v>
      </c>
      <c r="H37" s="10">
        <v>1</v>
      </c>
    </row>
    <row r="38" spans="1:8" hidden="1" x14ac:dyDescent="0.35">
      <c r="A38" s="19" t="s">
        <v>81</v>
      </c>
      <c r="B38" s="14" t="s">
        <v>49</v>
      </c>
      <c r="C38" s="15" t="s">
        <v>34</v>
      </c>
      <c r="D38" s="19">
        <v>0</v>
      </c>
      <c r="E38" s="19">
        <v>999999</v>
      </c>
      <c r="F38" s="13">
        <f>17.22%</f>
        <v>0.17219999999999999</v>
      </c>
      <c r="G38" s="19" t="b">
        <v>1</v>
      </c>
      <c r="H38" s="10">
        <v>0</v>
      </c>
    </row>
    <row r="39" spans="1:8" hidden="1" x14ac:dyDescent="0.35">
      <c r="A39" s="15" t="s">
        <v>4</v>
      </c>
      <c r="B39" s="20" t="s">
        <v>2</v>
      </c>
      <c r="C39" s="15" t="s">
        <v>36</v>
      </c>
      <c r="D39" s="16">
        <v>0</v>
      </c>
      <c r="E39" s="16">
        <v>999999</v>
      </c>
      <c r="F39" s="24">
        <v>5.0000000000000001E-3</v>
      </c>
      <c r="G39" s="17" t="b">
        <v>1</v>
      </c>
      <c r="H39" s="28">
        <v>10</v>
      </c>
    </row>
    <row r="40" spans="1:8" hidden="1" x14ac:dyDescent="0.35">
      <c r="A40" s="15" t="s">
        <v>3</v>
      </c>
      <c r="B40" s="14" t="s">
        <v>2</v>
      </c>
      <c r="C40" s="15" t="s">
        <v>34</v>
      </c>
      <c r="D40" s="16">
        <v>1</v>
      </c>
      <c r="E40" s="16">
        <v>999999</v>
      </c>
      <c r="F40" s="13">
        <v>1.8499999999999999E-2</v>
      </c>
      <c r="G40" s="17" t="b">
        <v>1</v>
      </c>
      <c r="H40" s="10">
        <v>0</v>
      </c>
    </row>
    <row r="41" spans="1:8" hidden="1" x14ac:dyDescent="0.35">
      <c r="A41" s="15" t="s">
        <v>4</v>
      </c>
      <c r="B41" s="20" t="s">
        <v>23</v>
      </c>
      <c r="C41" s="15" t="s">
        <v>34</v>
      </c>
      <c r="D41" s="16">
        <v>0</v>
      </c>
      <c r="E41" s="16">
        <v>999999</v>
      </c>
      <c r="F41" s="24">
        <v>0</v>
      </c>
      <c r="G41" s="17" t="b">
        <v>1</v>
      </c>
      <c r="H41" s="27">
        <v>0</v>
      </c>
    </row>
    <row r="42" spans="1:8" hidden="1" x14ac:dyDescent="0.35">
      <c r="A42" s="15" t="s">
        <v>4</v>
      </c>
      <c r="B42" s="20" t="s">
        <v>24</v>
      </c>
      <c r="C42" s="15" t="s">
        <v>35</v>
      </c>
      <c r="D42" s="16">
        <v>1</v>
      </c>
      <c r="E42" s="16">
        <v>50.99</v>
      </c>
      <c r="F42" s="24">
        <v>0.5</v>
      </c>
      <c r="G42" s="17" t="b">
        <v>0</v>
      </c>
      <c r="H42" s="27">
        <v>0</v>
      </c>
    </row>
    <row r="43" spans="1:8" hidden="1" x14ac:dyDescent="0.35">
      <c r="A43" s="15" t="s">
        <v>4</v>
      </c>
      <c r="B43" s="20" t="s">
        <v>24</v>
      </c>
      <c r="C43" s="15" t="s">
        <v>35</v>
      </c>
      <c r="D43" s="16">
        <v>51</v>
      </c>
      <c r="E43" s="16">
        <v>100.99</v>
      </c>
      <c r="F43" s="24">
        <v>1</v>
      </c>
      <c r="G43" s="17" t="b">
        <v>0</v>
      </c>
      <c r="H43" s="27">
        <v>0</v>
      </c>
    </row>
    <row r="44" spans="1:8" hidden="1" x14ac:dyDescent="0.35">
      <c r="A44" s="15" t="s">
        <v>4</v>
      </c>
      <c r="B44" s="20" t="s">
        <v>24</v>
      </c>
      <c r="C44" s="15" t="s">
        <v>35</v>
      </c>
      <c r="D44" s="16">
        <v>101</v>
      </c>
      <c r="E44" s="16">
        <v>1000.99</v>
      </c>
      <c r="F44" s="24">
        <v>3</v>
      </c>
      <c r="G44" s="17" t="b">
        <v>0</v>
      </c>
      <c r="H44" s="27">
        <v>0</v>
      </c>
    </row>
    <row r="45" spans="1:8" hidden="1" x14ac:dyDescent="0.35">
      <c r="A45" s="15" t="s">
        <v>4</v>
      </c>
      <c r="B45" s="20" t="s">
        <v>24</v>
      </c>
      <c r="C45" s="15" t="s">
        <v>35</v>
      </c>
      <c r="D45" s="16">
        <v>1001</v>
      </c>
      <c r="E45" s="16">
        <v>2000.99</v>
      </c>
      <c r="F45" s="24">
        <v>0.05</v>
      </c>
      <c r="G45" s="17" t="b">
        <v>1</v>
      </c>
      <c r="H45" s="27">
        <v>0</v>
      </c>
    </row>
    <row r="46" spans="1:8" hidden="1" x14ac:dyDescent="0.35">
      <c r="A46" s="15" t="s">
        <v>4</v>
      </c>
      <c r="B46" s="20" t="s">
        <v>24</v>
      </c>
      <c r="C46" s="15" t="s">
        <v>36</v>
      </c>
      <c r="D46" s="16">
        <v>2001</v>
      </c>
      <c r="E46" s="16">
        <v>999999</v>
      </c>
      <c r="F46" s="24">
        <v>0.05</v>
      </c>
      <c r="G46" s="17" t="b">
        <v>1</v>
      </c>
      <c r="H46" s="28">
        <v>10</v>
      </c>
    </row>
    <row r="47" spans="1:8" hidden="1" x14ac:dyDescent="0.35">
      <c r="A47" s="15" t="s">
        <v>3</v>
      </c>
      <c r="B47" s="14" t="s">
        <v>50</v>
      </c>
      <c r="C47" s="15" t="s">
        <v>34</v>
      </c>
      <c r="D47" s="16">
        <v>1</v>
      </c>
      <c r="E47" s="16">
        <v>999999</v>
      </c>
      <c r="F47" s="13">
        <v>1.4999999999999999E-2</v>
      </c>
      <c r="G47" s="17" t="b">
        <v>1</v>
      </c>
      <c r="H47" s="10">
        <v>0</v>
      </c>
    </row>
    <row r="48" spans="1:8" hidden="1" x14ac:dyDescent="0.35">
      <c r="A48" s="15" t="s">
        <v>3</v>
      </c>
      <c r="B48" s="20" t="s">
        <v>26</v>
      </c>
      <c r="C48" s="15" t="s">
        <v>35</v>
      </c>
      <c r="D48" s="16">
        <v>1</v>
      </c>
      <c r="E48" s="16">
        <v>50.99</v>
      </c>
      <c r="F48" s="24">
        <v>1</v>
      </c>
      <c r="G48" s="17" t="b">
        <v>0</v>
      </c>
      <c r="H48" s="27">
        <v>0</v>
      </c>
    </row>
    <row r="49" spans="1:8" hidden="1" x14ac:dyDescent="0.35">
      <c r="A49" s="15" t="s">
        <v>3</v>
      </c>
      <c r="B49" s="20" t="s">
        <v>26</v>
      </c>
      <c r="C49" s="15" t="s">
        <v>35</v>
      </c>
      <c r="D49" s="16">
        <v>51</v>
      </c>
      <c r="E49" s="16">
        <v>100.99</v>
      </c>
      <c r="F49" s="24">
        <v>1</v>
      </c>
      <c r="G49" s="17" t="b">
        <v>0</v>
      </c>
      <c r="H49" s="27">
        <v>0</v>
      </c>
    </row>
    <row r="50" spans="1:8" hidden="1" x14ac:dyDescent="0.35">
      <c r="A50" s="15" t="s">
        <v>3</v>
      </c>
      <c r="B50" s="20" t="s">
        <v>26</v>
      </c>
      <c r="C50" s="15" t="s">
        <v>35</v>
      </c>
      <c r="D50" s="16">
        <v>101</v>
      </c>
      <c r="E50" s="16">
        <v>2000.99</v>
      </c>
      <c r="F50" s="24">
        <v>1.4999999999999999E-2</v>
      </c>
      <c r="G50" s="17" t="b">
        <v>1</v>
      </c>
      <c r="H50" s="27">
        <v>0</v>
      </c>
    </row>
    <row r="51" spans="1:8" hidden="1" x14ac:dyDescent="0.35">
      <c r="A51" s="15" t="s">
        <v>3</v>
      </c>
      <c r="B51" s="20" t="s">
        <v>26</v>
      </c>
      <c r="C51" s="15" t="s">
        <v>36</v>
      </c>
      <c r="D51" s="16">
        <v>2001</v>
      </c>
      <c r="E51" s="16">
        <v>999999</v>
      </c>
      <c r="F51" s="24">
        <v>1.4999999999999999E-2</v>
      </c>
      <c r="G51" s="17" t="b">
        <v>1</v>
      </c>
      <c r="H51" s="28">
        <v>30</v>
      </c>
    </row>
    <row r="52" spans="1:8" hidden="1" x14ac:dyDescent="0.35">
      <c r="A52" s="15" t="s">
        <v>3</v>
      </c>
      <c r="B52" s="14" t="s">
        <v>79</v>
      </c>
      <c r="C52" s="15" t="s">
        <v>34</v>
      </c>
      <c r="D52" s="16">
        <v>1</v>
      </c>
      <c r="E52" s="16">
        <v>999999</v>
      </c>
      <c r="F52" s="13">
        <f>1.5%</f>
        <v>1.4999999999999999E-2</v>
      </c>
      <c r="G52" s="17" t="b">
        <v>1</v>
      </c>
      <c r="H52" s="10">
        <v>0</v>
      </c>
    </row>
    <row r="53" spans="1:8" hidden="1" x14ac:dyDescent="0.35">
      <c r="A53" s="15" t="s">
        <v>4</v>
      </c>
      <c r="B53" s="14" t="s">
        <v>79</v>
      </c>
      <c r="C53" s="15" t="s">
        <v>34</v>
      </c>
      <c r="D53" s="16">
        <v>1</v>
      </c>
      <c r="E53" s="16">
        <v>999999</v>
      </c>
      <c r="F53" s="13">
        <f>1.5%</f>
        <v>1.4999999999999999E-2</v>
      </c>
      <c r="G53" s="17" t="b">
        <v>1</v>
      </c>
      <c r="H53" s="10">
        <v>0</v>
      </c>
    </row>
    <row r="54" spans="1:8" hidden="1" x14ac:dyDescent="0.35">
      <c r="A54" s="15" t="s">
        <v>3</v>
      </c>
      <c r="B54" s="14" t="s">
        <v>51</v>
      </c>
      <c r="C54" s="15" t="s">
        <v>34</v>
      </c>
      <c r="D54" s="16">
        <v>1</v>
      </c>
      <c r="E54" s="16">
        <v>999999</v>
      </c>
      <c r="F54" s="13">
        <v>1.2E-2</v>
      </c>
      <c r="G54" s="17" t="b">
        <v>1</v>
      </c>
      <c r="H54" s="10">
        <v>0</v>
      </c>
    </row>
    <row r="55" spans="1:8" hidden="1" x14ac:dyDescent="0.35">
      <c r="A55" s="15" t="s">
        <v>3</v>
      </c>
      <c r="B55" s="14" t="s">
        <v>52</v>
      </c>
      <c r="C55" s="15" t="s">
        <v>34</v>
      </c>
      <c r="D55" s="16">
        <v>1</v>
      </c>
      <c r="E55" s="16">
        <v>999999</v>
      </c>
      <c r="F55" s="13">
        <v>0.01</v>
      </c>
      <c r="G55" s="17" t="b">
        <v>1</v>
      </c>
      <c r="H55" s="10">
        <v>0</v>
      </c>
    </row>
    <row r="56" spans="1:8" hidden="1" x14ac:dyDescent="0.35">
      <c r="A56" s="15" t="s">
        <v>3</v>
      </c>
      <c r="B56" s="14" t="s">
        <v>53</v>
      </c>
      <c r="C56" s="15" t="s">
        <v>34</v>
      </c>
      <c r="D56" s="16">
        <v>1</v>
      </c>
      <c r="E56" s="16">
        <v>999999</v>
      </c>
      <c r="F56" s="13">
        <v>1.7999999999999999E-2</v>
      </c>
      <c r="G56" s="17" t="b">
        <v>1</v>
      </c>
      <c r="H56" s="10">
        <v>0</v>
      </c>
    </row>
    <row r="57" spans="1:8" hidden="1" x14ac:dyDescent="0.35">
      <c r="A57" s="15" t="s">
        <v>4</v>
      </c>
      <c r="B57" s="14" t="s">
        <v>53</v>
      </c>
      <c r="C57" s="15" t="s">
        <v>34</v>
      </c>
      <c r="D57" s="16">
        <v>1</v>
      </c>
      <c r="E57" s="16">
        <v>999999</v>
      </c>
      <c r="F57" s="13">
        <v>0.05</v>
      </c>
      <c r="G57" s="17" t="b">
        <v>0</v>
      </c>
      <c r="H57" s="10">
        <v>0</v>
      </c>
    </row>
    <row r="58" spans="1:8" hidden="1" x14ac:dyDescent="0.35">
      <c r="A58" s="15" t="s">
        <v>3</v>
      </c>
      <c r="B58" s="14" t="s">
        <v>54</v>
      </c>
      <c r="C58" s="15" t="s">
        <v>34</v>
      </c>
      <c r="D58" s="16">
        <v>1</v>
      </c>
      <c r="E58" s="16">
        <v>999999</v>
      </c>
      <c r="F58" s="13">
        <v>1.4999999999999999E-2</v>
      </c>
      <c r="G58" s="17" t="b">
        <v>1</v>
      </c>
      <c r="H58" s="10">
        <v>0</v>
      </c>
    </row>
    <row r="59" spans="1:8" hidden="1" x14ac:dyDescent="0.35">
      <c r="A59" s="15" t="s">
        <v>3</v>
      </c>
      <c r="B59" s="14" t="s">
        <v>55</v>
      </c>
      <c r="C59" s="15" t="s">
        <v>35</v>
      </c>
      <c r="D59" s="16">
        <v>1</v>
      </c>
      <c r="E59" s="16">
        <v>50.99</v>
      </c>
      <c r="F59" s="13">
        <v>1</v>
      </c>
      <c r="G59" s="17" t="b">
        <v>0</v>
      </c>
      <c r="H59" s="10">
        <v>0</v>
      </c>
    </row>
    <row r="60" spans="1:8" hidden="1" x14ac:dyDescent="0.35">
      <c r="A60" s="15" t="s">
        <v>3</v>
      </c>
      <c r="B60" s="14" t="s">
        <v>55</v>
      </c>
      <c r="C60" s="15" t="s">
        <v>35</v>
      </c>
      <c r="D60" s="16">
        <v>51</v>
      </c>
      <c r="E60" s="16">
        <v>100.99</v>
      </c>
      <c r="F60" s="13">
        <v>1.5</v>
      </c>
      <c r="G60" s="17" t="b">
        <v>0</v>
      </c>
      <c r="H60" s="10">
        <v>0</v>
      </c>
    </row>
    <row r="61" spans="1:8" hidden="1" x14ac:dyDescent="0.35">
      <c r="A61" s="15" t="s">
        <v>3</v>
      </c>
      <c r="B61" s="14" t="s">
        <v>55</v>
      </c>
      <c r="C61" s="15" t="s">
        <v>35</v>
      </c>
      <c r="D61" s="16">
        <v>101</v>
      </c>
      <c r="E61" s="16">
        <v>2000.99</v>
      </c>
      <c r="F61" s="13">
        <v>1.4999999999999999E-2</v>
      </c>
      <c r="G61" s="17" t="b">
        <v>1</v>
      </c>
      <c r="H61" s="10">
        <v>0</v>
      </c>
    </row>
    <row r="62" spans="1:8" hidden="1" x14ac:dyDescent="0.35">
      <c r="A62" s="15" t="s">
        <v>3</v>
      </c>
      <c r="B62" s="14" t="s">
        <v>55</v>
      </c>
      <c r="C62" s="15" t="s">
        <v>36</v>
      </c>
      <c r="D62" s="16">
        <v>2001</v>
      </c>
      <c r="E62" s="16">
        <v>999999</v>
      </c>
      <c r="F62" s="13">
        <v>30</v>
      </c>
      <c r="G62" s="17" t="b">
        <v>0</v>
      </c>
      <c r="H62" s="10">
        <v>30</v>
      </c>
    </row>
    <row r="63" spans="1:8" hidden="1" x14ac:dyDescent="0.35">
      <c r="A63" s="15" t="s">
        <v>4</v>
      </c>
      <c r="B63" s="14" t="s">
        <v>55</v>
      </c>
      <c r="C63" s="15" t="s">
        <v>35</v>
      </c>
      <c r="D63" s="16">
        <v>1</v>
      </c>
      <c r="E63" s="16">
        <v>100.99</v>
      </c>
      <c r="F63" s="13">
        <v>1</v>
      </c>
      <c r="G63" s="17" t="b">
        <v>0</v>
      </c>
      <c r="H63" s="10">
        <v>0</v>
      </c>
    </row>
    <row r="64" spans="1:8" hidden="1" x14ac:dyDescent="0.35">
      <c r="A64" s="15" t="s">
        <v>4</v>
      </c>
      <c r="B64" s="14" t="s">
        <v>55</v>
      </c>
      <c r="C64" s="15" t="s">
        <v>35</v>
      </c>
      <c r="D64" s="16">
        <v>101</v>
      </c>
      <c r="E64" s="16">
        <v>2000.99</v>
      </c>
      <c r="F64" s="13">
        <v>0.01</v>
      </c>
      <c r="G64" s="17" t="b">
        <v>1</v>
      </c>
      <c r="H64" s="10">
        <v>0</v>
      </c>
    </row>
    <row r="65" spans="1:8" hidden="1" x14ac:dyDescent="0.35">
      <c r="A65" s="15" t="s">
        <v>4</v>
      </c>
      <c r="B65" s="14" t="s">
        <v>55</v>
      </c>
      <c r="C65" s="15" t="s">
        <v>36</v>
      </c>
      <c r="D65" s="16">
        <v>2001</v>
      </c>
      <c r="E65" s="16">
        <v>999999</v>
      </c>
      <c r="F65" s="13">
        <v>20</v>
      </c>
      <c r="G65" s="17" t="b">
        <v>0</v>
      </c>
      <c r="H65" s="10">
        <v>20</v>
      </c>
    </row>
    <row r="66" spans="1:8" x14ac:dyDescent="0.35">
      <c r="A66" s="15" t="s">
        <v>3</v>
      </c>
      <c r="B66" s="14" t="s">
        <v>56</v>
      </c>
      <c r="C66" s="15" t="s">
        <v>35</v>
      </c>
      <c r="D66" s="16">
        <v>1</v>
      </c>
      <c r="E66" s="16">
        <v>2400</v>
      </c>
      <c r="F66" s="13">
        <v>1.2500000000000001E-2</v>
      </c>
      <c r="G66" s="17" t="b">
        <v>1</v>
      </c>
      <c r="H66" s="10">
        <v>0</v>
      </c>
    </row>
    <row r="67" spans="1:8" hidden="1" x14ac:dyDescent="0.35">
      <c r="A67" s="15" t="s">
        <v>3</v>
      </c>
      <c r="B67" s="14" t="s">
        <v>80</v>
      </c>
      <c r="C67" s="15" t="s">
        <v>34</v>
      </c>
      <c r="D67" s="16">
        <v>1</v>
      </c>
      <c r="E67" s="16">
        <v>999999</v>
      </c>
      <c r="F67" s="13">
        <f>1.5%</f>
        <v>1.4999999999999999E-2</v>
      </c>
      <c r="G67" s="17" t="b">
        <v>1</v>
      </c>
      <c r="H67" s="10">
        <v>0</v>
      </c>
    </row>
    <row r="68" spans="1:8" hidden="1" x14ac:dyDescent="0.35">
      <c r="A68" s="15" t="s">
        <v>4</v>
      </c>
      <c r="B68" s="14" t="s">
        <v>80</v>
      </c>
      <c r="C68" s="15" t="s">
        <v>34</v>
      </c>
      <c r="D68" s="16">
        <v>1</v>
      </c>
      <c r="E68" s="16">
        <v>999999</v>
      </c>
      <c r="F68" s="13">
        <v>0.5</v>
      </c>
      <c r="G68" s="17" t="b">
        <v>0</v>
      </c>
      <c r="H68" s="10">
        <v>0</v>
      </c>
    </row>
    <row r="69" spans="1:8" hidden="1" x14ac:dyDescent="0.35">
      <c r="A69" s="15" t="s">
        <v>3</v>
      </c>
      <c r="B69" s="14" t="s">
        <v>57</v>
      </c>
      <c r="C69" s="15" t="s">
        <v>35</v>
      </c>
      <c r="D69" s="16">
        <v>1</v>
      </c>
      <c r="E69" s="16">
        <v>50.99</v>
      </c>
      <c r="F69" s="13">
        <v>1</v>
      </c>
      <c r="G69" s="17" t="b">
        <v>0</v>
      </c>
      <c r="H69" s="10">
        <v>0</v>
      </c>
    </row>
    <row r="70" spans="1:8" hidden="1" x14ac:dyDescent="0.35">
      <c r="A70" s="15" t="s">
        <v>3</v>
      </c>
      <c r="B70" s="14" t="s">
        <v>57</v>
      </c>
      <c r="C70" s="15" t="s">
        <v>35</v>
      </c>
      <c r="D70" s="16">
        <v>51</v>
      </c>
      <c r="E70" s="16">
        <v>100.99</v>
      </c>
      <c r="F70" s="13">
        <v>1.5</v>
      </c>
      <c r="G70" s="17" t="b">
        <v>0</v>
      </c>
      <c r="H70" s="10">
        <v>0</v>
      </c>
    </row>
    <row r="71" spans="1:8" hidden="1" x14ac:dyDescent="0.35">
      <c r="A71" s="15" t="s">
        <v>3</v>
      </c>
      <c r="B71" s="14" t="s">
        <v>57</v>
      </c>
      <c r="C71" s="15" t="s">
        <v>35</v>
      </c>
      <c r="D71" s="16">
        <v>101</v>
      </c>
      <c r="E71" s="16">
        <v>2000.99</v>
      </c>
      <c r="F71" s="13">
        <v>1.4999999999999999E-2</v>
      </c>
      <c r="G71" s="17" t="b">
        <v>1</v>
      </c>
      <c r="H71" s="10">
        <v>0</v>
      </c>
    </row>
    <row r="72" spans="1:8" hidden="1" x14ac:dyDescent="0.35">
      <c r="A72" s="15" t="s">
        <v>3</v>
      </c>
      <c r="B72" s="14" t="s">
        <v>57</v>
      </c>
      <c r="C72" s="15" t="s">
        <v>36</v>
      </c>
      <c r="D72" s="16">
        <v>2001</v>
      </c>
      <c r="E72" s="16">
        <v>999999</v>
      </c>
      <c r="F72" s="13">
        <v>30</v>
      </c>
      <c r="G72" s="17" t="b">
        <v>0</v>
      </c>
      <c r="H72" s="10">
        <v>30</v>
      </c>
    </row>
    <row r="73" spans="1:8" hidden="1" x14ac:dyDescent="0.35">
      <c r="A73" s="19" t="s">
        <v>81</v>
      </c>
      <c r="B73" s="14" t="s">
        <v>57</v>
      </c>
      <c r="C73" s="15" t="s">
        <v>34</v>
      </c>
      <c r="D73" s="19">
        <v>0</v>
      </c>
      <c r="E73" s="19">
        <v>999999</v>
      </c>
      <c r="F73" s="13">
        <f>6.27%</f>
        <v>6.2699999999999992E-2</v>
      </c>
      <c r="G73" s="19" t="b">
        <v>1</v>
      </c>
      <c r="H73" s="10">
        <v>0</v>
      </c>
    </row>
    <row r="74" spans="1:8" hidden="1" x14ac:dyDescent="0.35">
      <c r="A74" s="15" t="s">
        <v>3</v>
      </c>
      <c r="B74" s="14" t="s">
        <v>59</v>
      </c>
      <c r="C74" s="15" t="s">
        <v>34</v>
      </c>
      <c r="D74" s="16">
        <v>1</v>
      </c>
      <c r="E74" s="16">
        <v>999999</v>
      </c>
      <c r="F74" s="13">
        <v>0.02</v>
      </c>
      <c r="G74" s="17" t="b">
        <v>1</v>
      </c>
      <c r="H74" s="10">
        <v>0</v>
      </c>
    </row>
    <row r="75" spans="1:8" hidden="1" x14ac:dyDescent="0.35">
      <c r="A75" s="19" t="s">
        <v>4</v>
      </c>
      <c r="B75" s="14" t="s">
        <v>83</v>
      </c>
      <c r="C75" s="15" t="s">
        <v>36</v>
      </c>
      <c r="D75" s="19">
        <v>0</v>
      </c>
      <c r="E75" s="19">
        <v>999999</v>
      </c>
      <c r="F75" s="13">
        <f>0.5%</f>
        <v>5.0000000000000001E-3</v>
      </c>
      <c r="G75" s="19" t="b">
        <v>0</v>
      </c>
      <c r="H75" s="10">
        <v>500</v>
      </c>
    </row>
    <row r="76" spans="1:8" hidden="1" x14ac:dyDescent="0.35">
      <c r="A76" s="15" t="s">
        <v>3</v>
      </c>
      <c r="B76" s="14" t="s">
        <v>58</v>
      </c>
      <c r="C76" s="15" t="s">
        <v>34</v>
      </c>
      <c r="D76" s="16">
        <v>1</v>
      </c>
      <c r="E76" s="16">
        <v>1000.99</v>
      </c>
      <c r="F76" s="13">
        <v>1.8499999999999999E-2</v>
      </c>
      <c r="G76" s="17" t="b">
        <v>1</v>
      </c>
      <c r="H76" s="10">
        <v>0</v>
      </c>
    </row>
    <row r="77" spans="1:8" hidden="1" x14ac:dyDescent="0.35">
      <c r="A77" s="15" t="s">
        <v>4</v>
      </c>
      <c r="B77" s="14" t="s">
        <v>58</v>
      </c>
      <c r="C77" s="15" t="s">
        <v>35</v>
      </c>
      <c r="D77" s="16">
        <v>1</v>
      </c>
      <c r="E77" s="16">
        <v>1000.99</v>
      </c>
      <c r="F77" s="13">
        <v>1.8499999999999999E-2</v>
      </c>
      <c r="G77" s="17" t="b">
        <v>1</v>
      </c>
      <c r="H77" s="10">
        <v>0</v>
      </c>
    </row>
    <row r="78" spans="1:8" hidden="1" x14ac:dyDescent="0.35">
      <c r="A78" s="15" t="s">
        <v>4</v>
      </c>
      <c r="B78" s="14" t="s">
        <v>58</v>
      </c>
      <c r="C78" s="15" t="s">
        <v>36</v>
      </c>
      <c r="D78" s="16">
        <v>1001</v>
      </c>
      <c r="E78" s="16">
        <v>999999</v>
      </c>
      <c r="F78" s="13">
        <v>10</v>
      </c>
      <c r="G78" s="17" t="b">
        <v>0</v>
      </c>
      <c r="H78" s="10">
        <v>10</v>
      </c>
    </row>
    <row r="79" spans="1:8" hidden="1" x14ac:dyDescent="0.35">
      <c r="A79" s="15" t="s">
        <v>3</v>
      </c>
      <c r="B79" s="14" t="s">
        <v>60</v>
      </c>
      <c r="C79" s="15" t="s">
        <v>34</v>
      </c>
      <c r="D79" s="16">
        <v>1</v>
      </c>
      <c r="E79" s="16">
        <v>999999</v>
      </c>
      <c r="F79" s="13">
        <f>1.5%</f>
        <v>1.4999999999999999E-2</v>
      </c>
      <c r="G79" s="17" t="b">
        <v>1</v>
      </c>
      <c r="H79" s="10">
        <v>0</v>
      </c>
    </row>
    <row r="80" spans="1:8" hidden="1" x14ac:dyDescent="0.35">
      <c r="A80" s="15" t="s">
        <v>3</v>
      </c>
      <c r="B80" s="14" t="s">
        <v>61</v>
      </c>
      <c r="C80" s="15" t="s">
        <v>34</v>
      </c>
      <c r="D80" s="16">
        <v>1</v>
      </c>
      <c r="E80" s="16">
        <v>999999</v>
      </c>
      <c r="F80" s="13">
        <f>1.5%</f>
        <v>1.4999999999999999E-2</v>
      </c>
      <c r="G80" s="17" t="b">
        <v>1</v>
      </c>
      <c r="H80" s="10">
        <v>0</v>
      </c>
    </row>
    <row r="81" spans="1:8" hidden="1" x14ac:dyDescent="0.35">
      <c r="A81" s="19" t="s">
        <v>4</v>
      </c>
      <c r="B81" s="14" t="s">
        <v>82</v>
      </c>
      <c r="C81" s="15" t="s">
        <v>34</v>
      </c>
      <c r="D81" s="19">
        <v>0</v>
      </c>
      <c r="E81" s="19">
        <v>999999</v>
      </c>
      <c r="F81" s="13">
        <v>2</v>
      </c>
      <c r="G81" s="19" t="b">
        <v>0</v>
      </c>
      <c r="H81" s="10">
        <v>2</v>
      </c>
    </row>
    <row r="82" spans="1:8" hidden="1" x14ac:dyDescent="0.35">
      <c r="A82" s="15" t="s">
        <v>3</v>
      </c>
      <c r="B82" s="14" t="s">
        <v>62</v>
      </c>
      <c r="C82" s="15" t="s">
        <v>35</v>
      </c>
      <c r="D82" s="16">
        <v>1</v>
      </c>
      <c r="E82" s="16">
        <v>50.99</v>
      </c>
      <c r="F82" s="13">
        <v>1</v>
      </c>
      <c r="G82" s="17" t="b">
        <v>0</v>
      </c>
      <c r="H82" s="10">
        <v>0</v>
      </c>
    </row>
    <row r="83" spans="1:8" hidden="1" x14ac:dyDescent="0.35">
      <c r="A83" s="15" t="s">
        <v>3</v>
      </c>
      <c r="B83" s="14" t="s">
        <v>62</v>
      </c>
      <c r="C83" s="15" t="s">
        <v>35</v>
      </c>
      <c r="D83" s="16">
        <v>51</v>
      </c>
      <c r="E83" s="16">
        <v>100.99</v>
      </c>
      <c r="F83" s="13">
        <v>1.5</v>
      </c>
      <c r="G83" s="17" t="b">
        <v>0</v>
      </c>
      <c r="H83" s="10">
        <v>0</v>
      </c>
    </row>
    <row r="84" spans="1:8" hidden="1" x14ac:dyDescent="0.35">
      <c r="A84" s="15" t="s">
        <v>3</v>
      </c>
      <c r="B84" s="14" t="s">
        <v>62</v>
      </c>
      <c r="C84" s="15" t="s">
        <v>35</v>
      </c>
      <c r="D84" s="16">
        <v>101</v>
      </c>
      <c r="E84" s="16">
        <v>2000.99</v>
      </c>
      <c r="F84" s="13">
        <v>1.4999999999999999E-2</v>
      </c>
      <c r="G84" s="17" t="b">
        <v>1</v>
      </c>
      <c r="H84" s="10">
        <v>0</v>
      </c>
    </row>
    <row r="85" spans="1:8" hidden="1" x14ac:dyDescent="0.35">
      <c r="A85" s="15" t="s">
        <v>3</v>
      </c>
      <c r="B85" s="14" t="s">
        <v>62</v>
      </c>
      <c r="C85" s="15" t="s">
        <v>36</v>
      </c>
      <c r="D85" s="16">
        <v>2001</v>
      </c>
      <c r="E85" s="16">
        <v>999999</v>
      </c>
      <c r="F85" s="13">
        <v>30</v>
      </c>
      <c r="G85" s="17" t="b">
        <v>0</v>
      </c>
      <c r="H85" s="10">
        <v>30</v>
      </c>
    </row>
    <row r="86" spans="1:8" hidden="1" x14ac:dyDescent="0.35">
      <c r="A86" s="15" t="s">
        <v>4</v>
      </c>
      <c r="B86" s="14" t="s">
        <v>62</v>
      </c>
      <c r="C86" s="15" t="s">
        <v>35</v>
      </c>
      <c r="D86" s="16">
        <v>1</v>
      </c>
      <c r="E86" s="16">
        <v>50.99</v>
      </c>
      <c r="F86" s="13">
        <v>0.5</v>
      </c>
      <c r="G86" s="17" t="b">
        <v>0</v>
      </c>
      <c r="H86" s="10">
        <v>0</v>
      </c>
    </row>
    <row r="87" spans="1:8" hidden="1" x14ac:dyDescent="0.35">
      <c r="A87" s="15" t="s">
        <v>4</v>
      </c>
      <c r="B87" s="14" t="s">
        <v>62</v>
      </c>
      <c r="C87" s="15" t="s">
        <v>35</v>
      </c>
      <c r="D87" s="16">
        <v>51</v>
      </c>
      <c r="E87" s="16">
        <v>100.99</v>
      </c>
      <c r="F87" s="13">
        <v>1</v>
      </c>
      <c r="G87" s="17" t="b">
        <v>0</v>
      </c>
      <c r="H87" s="10">
        <v>0</v>
      </c>
    </row>
    <row r="88" spans="1:8" hidden="1" x14ac:dyDescent="0.35">
      <c r="A88" s="15" t="s">
        <v>4</v>
      </c>
      <c r="B88" s="14" t="s">
        <v>62</v>
      </c>
      <c r="C88" s="15" t="s">
        <v>35</v>
      </c>
      <c r="D88" s="16">
        <v>101</v>
      </c>
      <c r="E88" s="16">
        <v>1000.99</v>
      </c>
      <c r="F88" s="13">
        <v>3</v>
      </c>
      <c r="G88" s="17" t="b">
        <v>0</v>
      </c>
      <c r="H88" s="10">
        <v>0</v>
      </c>
    </row>
    <row r="89" spans="1:8" hidden="1" x14ac:dyDescent="0.35">
      <c r="A89" s="15" t="s">
        <v>4</v>
      </c>
      <c r="B89" s="14" t="s">
        <v>62</v>
      </c>
      <c r="C89" s="15" t="s">
        <v>35</v>
      </c>
      <c r="D89" s="16">
        <v>1001</v>
      </c>
      <c r="E89" s="16">
        <v>2000.99</v>
      </c>
      <c r="F89" s="13">
        <v>5</v>
      </c>
      <c r="G89" s="17" t="b">
        <v>0</v>
      </c>
      <c r="H89" s="10" t="s">
        <v>41</v>
      </c>
    </row>
    <row r="90" spans="1:8" hidden="1" x14ac:dyDescent="0.35">
      <c r="A90" s="15" t="s">
        <v>4</v>
      </c>
      <c r="B90" s="14" t="s">
        <v>62</v>
      </c>
      <c r="C90" s="15" t="s">
        <v>36</v>
      </c>
      <c r="D90" s="16">
        <v>2001</v>
      </c>
      <c r="E90" s="16">
        <v>999999</v>
      </c>
      <c r="F90" s="13">
        <f>0.5%</f>
        <v>5.0000000000000001E-3</v>
      </c>
      <c r="G90" s="17" t="b">
        <v>1</v>
      </c>
      <c r="H90" s="10">
        <v>10</v>
      </c>
    </row>
    <row r="91" spans="1:8" hidden="1" x14ac:dyDescent="0.35">
      <c r="A91" s="15" t="s">
        <v>3</v>
      </c>
      <c r="B91" s="14" t="s">
        <v>63</v>
      </c>
      <c r="C91" s="15" t="s">
        <v>34</v>
      </c>
      <c r="D91" s="16">
        <v>1</v>
      </c>
      <c r="E91" s="16">
        <v>999999</v>
      </c>
      <c r="F91" s="13">
        <v>1.4999999999999999E-2</v>
      </c>
      <c r="G91" s="17" t="b">
        <v>1</v>
      </c>
      <c r="H91" s="10">
        <v>0</v>
      </c>
    </row>
    <row r="92" spans="1:8" hidden="1" x14ac:dyDescent="0.35">
      <c r="A92" s="19" t="s">
        <v>4</v>
      </c>
      <c r="B92" s="14" t="s">
        <v>63</v>
      </c>
      <c r="C92" s="19" t="s">
        <v>36</v>
      </c>
      <c r="D92" s="19">
        <v>1</v>
      </c>
      <c r="E92" s="19">
        <v>999999</v>
      </c>
      <c r="F92" s="13">
        <v>5.0000000000000001E-3</v>
      </c>
      <c r="G92" s="19" t="b">
        <v>1</v>
      </c>
      <c r="H92" s="10">
        <v>25</v>
      </c>
    </row>
    <row r="93" spans="1:8" hidden="1" x14ac:dyDescent="0.35">
      <c r="A93" s="18" t="s">
        <v>3</v>
      </c>
      <c r="B93" s="14" t="s">
        <v>64</v>
      </c>
      <c r="C93" s="15" t="s">
        <v>34</v>
      </c>
      <c r="D93" s="16">
        <v>1</v>
      </c>
      <c r="E93" s="16">
        <v>999999</v>
      </c>
      <c r="F93" s="13">
        <v>1.4999999999999999E-2</v>
      </c>
      <c r="G93" s="17" t="b">
        <v>1</v>
      </c>
      <c r="H93" s="10">
        <v>0</v>
      </c>
    </row>
    <row r="94" spans="1:8" hidden="1" x14ac:dyDescent="0.35">
      <c r="A94" s="18" t="s">
        <v>3</v>
      </c>
      <c r="B94" s="14" t="s">
        <v>68</v>
      </c>
      <c r="C94" s="15" t="s">
        <v>34</v>
      </c>
      <c r="D94" s="16">
        <v>1</v>
      </c>
      <c r="E94" s="16">
        <v>999999</v>
      </c>
      <c r="F94" s="13">
        <v>1.2999999999999999E-2</v>
      </c>
      <c r="G94" s="17" t="b">
        <v>1</v>
      </c>
      <c r="H94" s="10">
        <v>0</v>
      </c>
    </row>
    <row r="95" spans="1:8" hidden="1" x14ac:dyDescent="0.35">
      <c r="A95" s="18" t="s">
        <v>3</v>
      </c>
      <c r="B95" s="14" t="s">
        <v>65</v>
      </c>
      <c r="C95" s="15" t="s">
        <v>34</v>
      </c>
      <c r="D95" s="16">
        <v>0</v>
      </c>
      <c r="E95" s="16">
        <v>999999</v>
      </c>
      <c r="F95" s="13">
        <v>1.4999999999999999E-2</v>
      </c>
      <c r="G95" s="17" t="b">
        <v>1</v>
      </c>
      <c r="H95" s="10">
        <v>0</v>
      </c>
    </row>
    <row r="96" spans="1:8" hidden="1" x14ac:dyDescent="0.35">
      <c r="A96" t="s">
        <v>3</v>
      </c>
      <c r="B96" s="14" t="s">
        <v>65</v>
      </c>
      <c r="C96" s="20" t="s">
        <v>34</v>
      </c>
      <c r="D96">
        <v>0</v>
      </c>
      <c r="E96">
        <v>999999</v>
      </c>
      <c r="F96" s="13">
        <f>1.5%</f>
        <v>1.4999999999999999E-2</v>
      </c>
      <c r="G96" t="b">
        <v>1</v>
      </c>
      <c r="H96" s="10">
        <v>0</v>
      </c>
    </row>
    <row r="97" spans="1:8" hidden="1" x14ac:dyDescent="0.35">
      <c r="A97" t="s">
        <v>4</v>
      </c>
      <c r="B97" s="14" t="s">
        <v>65</v>
      </c>
      <c r="C97" s="20" t="s">
        <v>36</v>
      </c>
      <c r="D97">
        <v>0</v>
      </c>
      <c r="E97">
        <v>999999</v>
      </c>
      <c r="F97" s="13">
        <f>0.5%</f>
        <v>5.0000000000000001E-3</v>
      </c>
      <c r="G97" t="b">
        <v>1</v>
      </c>
      <c r="H97" s="10">
        <v>500</v>
      </c>
    </row>
    <row r="98" spans="1:8" hidden="1" x14ac:dyDescent="0.35">
      <c r="A98" s="20" t="s">
        <v>3</v>
      </c>
      <c r="B98" s="14" t="s">
        <v>66</v>
      </c>
      <c r="C98" s="15" t="s">
        <v>34</v>
      </c>
      <c r="D98" s="16">
        <v>1</v>
      </c>
      <c r="E98" s="16">
        <v>999999</v>
      </c>
      <c r="F98" s="13">
        <v>1.4999999999999999E-2</v>
      </c>
      <c r="G98" s="17" t="b">
        <v>1</v>
      </c>
      <c r="H98" s="10">
        <v>0</v>
      </c>
    </row>
    <row r="99" spans="1:8" hidden="1" x14ac:dyDescent="0.35">
      <c r="A99" s="19" t="s">
        <v>4</v>
      </c>
      <c r="B99" s="14" t="s">
        <v>66</v>
      </c>
      <c r="C99" s="19" t="s">
        <v>34</v>
      </c>
      <c r="D99" s="19">
        <v>1</v>
      </c>
      <c r="E99" s="19">
        <v>999999</v>
      </c>
      <c r="F99" s="13">
        <v>5.0000000000000001E-3</v>
      </c>
      <c r="G99" s="19" t="b">
        <v>1</v>
      </c>
      <c r="H99" s="10">
        <v>0</v>
      </c>
    </row>
    <row r="100" spans="1:8" hidden="1" x14ac:dyDescent="0.35">
      <c r="A100" s="15" t="s">
        <v>3</v>
      </c>
      <c r="B100" s="14" t="s">
        <v>69</v>
      </c>
      <c r="C100" s="15" t="s">
        <v>34</v>
      </c>
      <c r="D100" s="16">
        <v>1</v>
      </c>
      <c r="E100" s="16">
        <v>999999</v>
      </c>
      <c r="F100" s="13">
        <v>0.02</v>
      </c>
      <c r="G100" s="17" t="b">
        <v>1</v>
      </c>
      <c r="H100" s="10">
        <v>0</v>
      </c>
    </row>
    <row r="101" spans="1:8" hidden="1" x14ac:dyDescent="0.35">
      <c r="A101" s="20" t="s">
        <v>4</v>
      </c>
      <c r="B101" s="14" t="s">
        <v>69</v>
      </c>
      <c r="C101" s="15" t="s">
        <v>34</v>
      </c>
      <c r="D101" s="16">
        <v>1</v>
      </c>
      <c r="E101" s="16">
        <v>999999</v>
      </c>
      <c r="F101" s="13">
        <f>0.5%</f>
        <v>5.0000000000000001E-3</v>
      </c>
      <c r="G101" s="17" t="b">
        <v>1</v>
      </c>
      <c r="H101" s="10">
        <v>0</v>
      </c>
    </row>
    <row r="102" spans="1:8" hidden="1" x14ac:dyDescent="0.35">
      <c r="A102" s="20" t="s">
        <v>3</v>
      </c>
      <c r="B102" s="14" t="s">
        <v>67</v>
      </c>
      <c r="C102" s="15" t="s">
        <v>34</v>
      </c>
      <c r="D102" s="16">
        <v>1</v>
      </c>
      <c r="E102" s="16">
        <v>999999</v>
      </c>
      <c r="F102" s="13">
        <v>1.4999999999999999E-2</v>
      </c>
      <c r="G102" s="17" t="b">
        <v>1</v>
      </c>
      <c r="H102" s="10">
        <v>0</v>
      </c>
    </row>
    <row r="103" spans="1:8" hidden="1" x14ac:dyDescent="0.35">
      <c r="A103" t="s">
        <v>4</v>
      </c>
      <c r="B103" s="14" t="s">
        <v>67</v>
      </c>
      <c r="C103" s="20" t="s">
        <v>34</v>
      </c>
      <c r="D103" s="22">
        <v>1</v>
      </c>
      <c r="E103" s="22">
        <v>999999</v>
      </c>
      <c r="F103" s="13">
        <v>5.0000000000000001E-3</v>
      </c>
      <c r="G103" s="25" t="b">
        <v>1</v>
      </c>
      <c r="H103" s="10">
        <v>0</v>
      </c>
    </row>
    <row r="104" spans="1:8" hidden="1" x14ac:dyDescent="0.35">
      <c r="A104" s="20" t="s">
        <v>3</v>
      </c>
      <c r="B104" s="14" t="s">
        <v>70</v>
      </c>
      <c r="C104" s="20" t="s">
        <v>34</v>
      </c>
      <c r="D104" s="22">
        <v>1</v>
      </c>
      <c r="E104" s="22">
        <v>999999</v>
      </c>
      <c r="F104" s="13">
        <v>1.4999999999999999E-2</v>
      </c>
      <c r="G104" s="25" t="b">
        <v>1</v>
      </c>
      <c r="H104" s="10">
        <v>0</v>
      </c>
    </row>
    <row r="105" spans="1:8" hidden="1" x14ac:dyDescent="0.35">
      <c r="A105" s="20" t="s">
        <v>40</v>
      </c>
      <c r="B105" s="14" t="s">
        <v>39</v>
      </c>
      <c r="C105" s="20" t="s">
        <v>34</v>
      </c>
      <c r="D105" s="22">
        <v>0</v>
      </c>
      <c r="E105" s="22">
        <v>999999</v>
      </c>
      <c r="F105" s="13">
        <v>6</v>
      </c>
      <c r="G105" s="25" t="b">
        <v>0</v>
      </c>
      <c r="H105" s="10">
        <v>0</v>
      </c>
    </row>
    <row r="106" spans="1:8" hidden="1" x14ac:dyDescent="0.35">
      <c r="A106" s="20" t="s">
        <v>3</v>
      </c>
      <c r="B106" s="14" t="s">
        <v>71</v>
      </c>
      <c r="C106" s="20" t="s">
        <v>35</v>
      </c>
      <c r="D106" s="22">
        <v>1</v>
      </c>
      <c r="E106" s="22">
        <v>50.99</v>
      </c>
      <c r="F106" s="13">
        <v>1</v>
      </c>
      <c r="G106" s="25" t="b">
        <v>0</v>
      </c>
      <c r="H106" s="10">
        <v>0</v>
      </c>
    </row>
    <row r="107" spans="1:8" hidden="1" x14ac:dyDescent="0.35">
      <c r="A107" s="20" t="s">
        <v>3</v>
      </c>
      <c r="B107" s="14" t="s">
        <v>71</v>
      </c>
      <c r="C107" s="20" t="s">
        <v>35</v>
      </c>
      <c r="D107" s="22">
        <v>51</v>
      </c>
      <c r="E107" s="22">
        <v>100.99</v>
      </c>
      <c r="F107" s="13">
        <v>1.5</v>
      </c>
      <c r="G107" s="25" t="b">
        <v>0</v>
      </c>
      <c r="H107" s="10">
        <v>0</v>
      </c>
    </row>
    <row r="108" spans="1:8" hidden="1" x14ac:dyDescent="0.35">
      <c r="A108" s="20" t="s">
        <v>3</v>
      </c>
      <c r="B108" s="14" t="s">
        <v>71</v>
      </c>
      <c r="C108" s="20" t="s">
        <v>35</v>
      </c>
      <c r="D108" s="22">
        <v>101</v>
      </c>
      <c r="E108" s="22">
        <v>2000.99</v>
      </c>
      <c r="F108" s="13">
        <v>1.4999999999999999E-2</v>
      </c>
      <c r="G108" s="25" t="b">
        <v>1</v>
      </c>
      <c r="H108" s="10">
        <v>0</v>
      </c>
    </row>
    <row r="109" spans="1:8" hidden="1" x14ac:dyDescent="0.35">
      <c r="A109" s="20" t="s">
        <v>3</v>
      </c>
      <c r="B109" s="14" t="s">
        <v>71</v>
      </c>
      <c r="C109" s="20" t="s">
        <v>36</v>
      </c>
      <c r="D109" s="22">
        <v>2001</v>
      </c>
      <c r="E109" s="22">
        <v>999999</v>
      </c>
      <c r="F109" s="13">
        <v>30</v>
      </c>
      <c r="G109" s="25" t="b">
        <v>0</v>
      </c>
      <c r="H109" s="10">
        <v>30</v>
      </c>
    </row>
    <row r="110" spans="1:8" hidden="1" x14ac:dyDescent="0.35">
      <c r="A110" s="20" t="s">
        <v>3</v>
      </c>
      <c r="B110" s="14" t="s">
        <v>72</v>
      </c>
      <c r="C110" s="20" t="s">
        <v>34</v>
      </c>
      <c r="D110" s="22">
        <v>1</v>
      </c>
      <c r="E110" s="22">
        <v>999999</v>
      </c>
      <c r="F110" s="13">
        <v>1.7500000000000002E-2</v>
      </c>
      <c r="G110" s="25" t="b">
        <v>1</v>
      </c>
      <c r="H110" s="10">
        <v>0</v>
      </c>
    </row>
    <row r="111" spans="1:8" ht="15" hidden="1" thickBot="1" x14ac:dyDescent="0.4">
      <c r="A111" s="5" t="s">
        <v>4</v>
      </c>
      <c r="B111" s="21" t="s">
        <v>72</v>
      </c>
      <c r="C111" s="5" t="s">
        <v>34</v>
      </c>
      <c r="D111" s="6">
        <v>1</v>
      </c>
      <c r="E111" s="6">
        <v>999999</v>
      </c>
      <c r="F111" s="23">
        <f>0.3%</f>
        <v>3.0000000000000001E-3</v>
      </c>
      <c r="G111" s="7" t="b">
        <v>1</v>
      </c>
      <c r="H111" s="26">
        <v>0</v>
      </c>
    </row>
    <row r="112" spans="1:8" hidden="1" x14ac:dyDescent="0.35">
      <c r="A112" s="20" t="s">
        <v>3</v>
      </c>
      <c r="B112" s="14" t="s">
        <v>73</v>
      </c>
      <c r="C112" s="15" t="s">
        <v>34</v>
      </c>
      <c r="D112" s="22">
        <v>1</v>
      </c>
      <c r="E112" s="22">
        <v>999999</v>
      </c>
      <c r="F112" s="13">
        <v>0.02</v>
      </c>
      <c r="G112" s="25" t="b">
        <v>1</v>
      </c>
      <c r="H112" s="10">
        <v>0</v>
      </c>
    </row>
    <row r="113" spans="1:8" hidden="1" x14ac:dyDescent="0.35">
      <c r="A113" s="20" t="s">
        <v>3</v>
      </c>
      <c r="B113" s="14" t="s">
        <v>74</v>
      </c>
      <c r="C113" s="15" t="s">
        <v>34</v>
      </c>
      <c r="D113" s="22">
        <v>1</v>
      </c>
      <c r="E113" s="22">
        <v>999999</v>
      </c>
      <c r="F113" s="13">
        <v>1.7500000000000002E-2</v>
      </c>
      <c r="G113" s="25" t="b">
        <v>1</v>
      </c>
      <c r="H113" s="10">
        <v>0</v>
      </c>
    </row>
    <row r="114" spans="1:8" hidden="1" x14ac:dyDescent="0.35">
      <c r="A114" t="s">
        <v>4</v>
      </c>
      <c r="B114" s="14" t="s">
        <v>74</v>
      </c>
      <c r="C114" s="15" t="s">
        <v>35</v>
      </c>
      <c r="D114" s="22">
        <v>1</v>
      </c>
      <c r="E114" s="22">
        <v>2000.99</v>
      </c>
      <c r="F114" s="13">
        <f>0.5%</f>
        <v>5.0000000000000001E-3</v>
      </c>
      <c r="G114" s="25" t="b">
        <v>1</v>
      </c>
      <c r="H114" s="10">
        <v>0</v>
      </c>
    </row>
    <row r="115" spans="1:8" hidden="1" x14ac:dyDescent="0.35">
      <c r="A115" t="s">
        <v>4</v>
      </c>
      <c r="B115" s="14" t="s">
        <v>74</v>
      </c>
      <c r="C115" s="15" t="s">
        <v>36</v>
      </c>
      <c r="D115" s="22">
        <v>2001</v>
      </c>
      <c r="E115" s="22">
        <v>999999</v>
      </c>
      <c r="F115" s="13">
        <v>10</v>
      </c>
      <c r="G115" s="25" t="b">
        <v>0</v>
      </c>
      <c r="H115" s="10">
        <v>0</v>
      </c>
    </row>
    <row r="116" spans="1:8" hidden="1" x14ac:dyDescent="0.35">
      <c r="A116" s="20" t="s">
        <v>3</v>
      </c>
      <c r="B116" s="14" t="s">
        <v>75</v>
      </c>
      <c r="C116" s="15" t="s">
        <v>34</v>
      </c>
      <c r="D116" s="22">
        <v>1</v>
      </c>
      <c r="E116" s="22">
        <v>999999</v>
      </c>
      <c r="F116" s="13">
        <v>1.8499999999999999E-2</v>
      </c>
      <c r="G116" s="25" t="b">
        <v>1</v>
      </c>
      <c r="H116" s="10">
        <v>0</v>
      </c>
    </row>
    <row r="117" spans="1:8" hidden="1" x14ac:dyDescent="0.35">
      <c r="A117" t="s">
        <v>4</v>
      </c>
      <c r="B117" s="14" t="s">
        <v>75</v>
      </c>
      <c r="C117" s="19" t="s">
        <v>34</v>
      </c>
      <c r="D117">
        <v>1</v>
      </c>
      <c r="E117">
        <v>999999</v>
      </c>
      <c r="F117" s="13">
        <v>0</v>
      </c>
      <c r="G117" t="b">
        <v>0</v>
      </c>
      <c r="H117" s="10">
        <v>0</v>
      </c>
    </row>
    <row r="118" spans="1:8" x14ac:dyDescent="0.35">
      <c r="A118" s="15" t="s">
        <v>3</v>
      </c>
      <c r="B118" s="14" t="s">
        <v>56</v>
      </c>
      <c r="C118" s="15" t="s">
        <v>36</v>
      </c>
      <c r="D118" s="16">
        <v>2400.0100000000002</v>
      </c>
      <c r="E118" s="16">
        <v>999999</v>
      </c>
      <c r="F118" s="13">
        <v>30</v>
      </c>
      <c r="G118" s="17" t="b">
        <v>0</v>
      </c>
      <c r="H118" s="10">
        <v>30</v>
      </c>
    </row>
  </sheetData>
  <autoFilter ref="A1:H117" xr:uid="{368F54FD-ED78-4E4A-BD37-CDE3D203AAB7}">
    <filterColumn colId="1">
      <filters>
        <filter val="KORBA PAY"/>
      </filters>
    </filterColumn>
    <sortState xmlns:xlrd2="http://schemas.microsoft.com/office/spreadsheetml/2017/richdata2" ref="A2:H117">
      <sortCondition ref="B1:B117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85731-E7FF-435C-A9B2-169479FA08B2}">
  <dimension ref="A1:H48"/>
  <sheetViews>
    <sheetView topLeftCell="A18" workbookViewId="0">
      <selection activeCell="A12" sqref="A12:A13"/>
    </sheetView>
  </sheetViews>
  <sheetFormatPr defaultColWidth="40.08984375" defaultRowHeight="14.5" x14ac:dyDescent="0.35"/>
  <cols>
    <col min="1" max="1" width="15" bestFit="1" customWidth="1"/>
    <col min="2" max="2" width="27.36328125" bestFit="1" customWidth="1"/>
    <col min="3" max="3" width="7.08984375" bestFit="1" customWidth="1"/>
    <col min="4" max="4" width="8.6328125" style="3" bestFit="1" customWidth="1"/>
    <col min="5" max="5" width="8.54296875" bestFit="1" customWidth="1"/>
    <col min="6" max="6" width="8.90625" bestFit="1" customWidth="1"/>
    <col min="7" max="7" width="12.453125" bestFit="1" customWidth="1"/>
    <col min="8" max="8" width="10.54296875" bestFit="1" customWidth="1"/>
  </cols>
  <sheetData>
    <row r="1" spans="1:8" ht="15" thickBot="1" x14ac:dyDescent="0.4">
      <c r="A1" t="s">
        <v>1</v>
      </c>
      <c r="B1" t="s">
        <v>10</v>
      </c>
      <c r="C1" s="5" t="s">
        <v>28</v>
      </c>
      <c r="D1" s="3" t="s">
        <v>31</v>
      </c>
      <c r="E1" t="s">
        <v>29</v>
      </c>
      <c r="F1" t="s">
        <v>30</v>
      </c>
      <c r="G1" s="5" t="s">
        <v>32</v>
      </c>
      <c r="H1" s="8" t="s">
        <v>33</v>
      </c>
    </row>
    <row r="2" spans="1:8" ht="15" thickBot="1" x14ac:dyDescent="0.4">
      <c r="A2" s="4" t="s">
        <v>5</v>
      </c>
      <c r="B2" s="1" t="s">
        <v>6</v>
      </c>
      <c r="C2" s="5" t="s">
        <v>34</v>
      </c>
      <c r="D2" s="3">
        <v>7.5375117894195362E-2</v>
      </c>
      <c r="E2">
        <v>0</v>
      </c>
      <c r="F2">
        <v>999999</v>
      </c>
      <c r="G2" s="7" t="b">
        <v>1</v>
      </c>
      <c r="H2" s="8">
        <v>0</v>
      </c>
    </row>
    <row r="3" spans="1:8" ht="15" thickBot="1" x14ac:dyDescent="0.4">
      <c r="A3" s="4" t="s">
        <v>5</v>
      </c>
      <c r="B3" s="1" t="s">
        <v>7</v>
      </c>
      <c r="C3" s="5" t="s">
        <v>34</v>
      </c>
      <c r="D3" s="3">
        <v>4.7637500000000006E-2</v>
      </c>
      <c r="E3">
        <v>0</v>
      </c>
      <c r="F3">
        <v>999999</v>
      </c>
      <c r="G3" s="7" t="b">
        <v>1</v>
      </c>
      <c r="H3" s="8">
        <v>0</v>
      </c>
    </row>
    <row r="4" spans="1:8" ht="15" thickBot="1" x14ac:dyDescent="0.4">
      <c r="A4" s="4" t="s">
        <v>5</v>
      </c>
      <c r="B4" s="1" t="s">
        <v>8</v>
      </c>
      <c r="C4" s="5" t="s">
        <v>34</v>
      </c>
      <c r="D4" s="3">
        <v>6.5419285215514586E-2</v>
      </c>
      <c r="E4">
        <v>0</v>
      </c>
      <c r="F4">
        <v>999999</v>
      </c>
      <c r="G4" s="7" t="b">
        <v>1</v>
      </c>
      <c r="H4" s="8">
        <v>0</v>
      </c>
    </row>
    <row r="5" spans="1:8" ht="15" thickBot="1" x14ac:dyDescent="0.4">
      <c r="A5" s="4" t="s">
        <v>5</v>
      </c>
      <c r="B5" s="1" t="s">
        <v>9</v>
      </c>
      <c r="C5" s="5" t="s">
        <v>34</v>
      </c>
      <c r="D5" s="3">
        <v>0.06</v>
      </c>
      <c r="E5">
        <v>0</v>
      </c>
      <c r="F5">
        <v>999999</v>
      </c>
      <c r="G5" s="7" t="b">
        <v>1</v>
      </c>
      <c r="H5" s="8">
        <v>0</v>
      </c>
    </row>
    <row r="6" spans="1:8" ht="15" thickBot="1" x14ac:dyDescent="0.4">
      <c r="A6" t="s">
        <v>11</v>
      </c>
      <c r="B6" s="1" t="s">
        <v>12</v>
      </c>
      <c r="C6" s="5" t="s">
        <v>34</v>
      </c>
      <c r="D6" s="3">
        <v>7.0000000000000048E-2</v>
      </c>
      <c r="E6">
        <v>0</v>
      </c>
      <c r="F6">
        <v>999999</v>
      </c>
      <c r="G6" s="7" t="b">
        <v>1</v>
      </c>
      <c r="H6" s="8">
        <v>0</v>
      </c>
    </row>
    <row r="7" spans="1:8" ht="15" thickBot="1" x14ac:dyDescent="0.4">
      <c r="A7" t="s">
        <v>11</v>
      </c>
      <c r="B7" s="1" t="s">
        <v>7</v>
      </c>
      <c r="C7" s="5" t="s">
        <v>34</v>
      </c>
      <c r="D7" s="3">
        <v>4.7522388059701506E-2</v>
      </c>
      <c r="E7">
        <v>0</v>
      </c>
      <c r="F7">
        <v>999999</v>
      </c>
      <c r="G7" s="7" t="b">
        <v>1</v>
      </c>
      <c r="H7" s="8">
        <v>0</v>
      </c>
    </row>
    <row r="8" spans="1:8" ht="15" thickBot="1" x14ac:dyDescent="0.4">
      <c r="A8" t="s">
        <v>11</v>
      </c>
      <c r="B8" s="1" t="s">
        <v>8</v>
      </c>
      <c r="C8" s="5" t="s">
        <v>34</v>
      </c>
      <c r="D8" s="3">
        <v>6.5528756957328307E-2</v>
      </c>
      <c r="E8">
        <v>0</v>
      </c>
      <c r="F8">
        <v>999999</v>
      </c>
      <c r="G8" s="7" t="b">
        <v>1</v>
      </c>
      <c r="H8" s="8">
        <v>0</v>
      </c>
    </row>
    <row r="9" spans="1:8" ht="15" thickBot="1" x14ac:dyDescent="0.4">
      <c r="A9" t="s">
        <v>11</v>
      </c>
      <c r="B9" s="1" t="s">
        <v>13</v>
      </c>
      <c r="C9" s="5" t="s">
        <v>34</v>
      </c>
      <c r="D9" s="3">
        <v>0.06</v>
      </c>
      <c r="E9">
        <v>0</v>
      </c>
      <c r="F9">
        <v>999999</v>
      </c>
      <c r="G9" s="7" t="b">
        <v>1</v>
      </c>
      <c r="H9" s="8">
        <v>0</v>
      </c>
    </row>
    <row r="10" spans="1:8" ht="15" thickBot="1" x14ac:dyDescent="0.4">
      <c r="A10" t="s">
        <v>20</v>
      </c>
      <c r="B10" s="1" t="s">
        <v>21</v>
      </c>
      <c r="C10" s="5" t="s">
        <v>34</v>
      </c>
      <c r="D10" s="3">
        <v>1.9002214710339201E-2</v>
      </c>
      <c r="E10">
        <v>0</v>
      </c>
      <c r="F10">
        <v>999999</v>
      </c>
      <c r="G10" s="7" t="b">
        <v>1</v>
      </c>
      <c r="H10" s="8">
        <v>0</v>
      </c>
    </row>
    <row r="11" spans="1:8" ht="15" thickBot="1" x14ac:dyDescent="0.4">
      <c r="A11" t="s">
        <v>20</v>
      </c>
      <c r="B11" s="1" t="s">
        <v>22</v>
      </c>
      <c r="C11" s="5" t="s">
        <v>34</v>
      </c>
      <c r="D11" s="3">
        <v>2.9820293494467551E-2</v>
      </c>
      <c r="E11">
        <v>0</v>
      </c>
      <c r="F11">
        <v>999999</v>
      </c>
      <c r="G11" s="7" t="b">
        <v>1</v>
      </c>
      <c r="H11" s="8">
        <v>0</v>
      </c>
    </row>
    <row r="12" spans="1:8" ht="15" thickBot="1" x14ac:dyDescent="0.4">
      <c r="A12" t="s">
        <v>20</v>
      </c>
      <c r="B12" s="1" t="s">
        <v>27</v>
      </c>
      <c r="C12" s="5" t="s">
        <v>34</v>
      </c>
      <c r="D12" s="3">
        <v>1.7066593849199577E-2</v>
      </c>
      <c r="E12">
        <v>0</v>
      </c>
      <c r="F12">
        <v>999999</v>
      </c>
      <c r="G12" s="7" t="b">
        <v>1</v>
      </c>
      <c r="H12" s="8">
        <v>0</v>
      </c>
    </row>
    <row r="13" spans="1:8" ht="15" thickBot="1" x14ac:dyDescent="0.4">
      <c r="A13" t="s">
        <v>14</v>
      </c>
      <c r="B13" s="1" t="s">
        <v>15</v>
      </c>
      <c r="C13" s="5" t="s">
        <v>35</v>
      </c>
      <c r="D13" s="3">
        <v>1</v>
      </c>
      <c r="E13">
        <v>1</v>
      </c>
      <c r="F13">
        <v>50.99</v>
      </c>
      <c r="G13" s="7" t="b">
        <v>0</v>
      </c>
      <c r="H13" s="8">
        <v>0</v>
      </c>
    </row>
    <row r="14" spans="1:8" ht="15" thickBot="1" x14ac:dyDescent="0.4">
      <c r="A14" t="s">
        <v>14</v>
      </c>
      <c r="B14" s="1" t="s">
        <v>16</v>
      </c>
      <c r="C14" s="5" t="s">
        <v>35</v>
      </c>
      <c r="D14" s="3">
        <v>1.5</v>
      </c>
      <c r="E14">
        <v>51</v>
      </c>
      <c r="F14">
        <v>100.99</v>
      </c>
      <c r="G14" s="7" t="b">
        <v>0</v>
      </c>
      <c r="H14" s="8">
        <v>0</v>
      </c>
    </row>
    <row r="15" spans="1:8" ht="15" thickBot="1" x14ac:dyDescent="0.4">
      <c r="A15" t="s">
        <v>14</v>
      </c>
      <c r="B15" s="1" t="s">
        <v>17</v>
      </c>
      <c r="C15" s="5" t="s">
        <v>35</v>
      </c>
      <c r="D15" s="3">
        <v>1.4999999999999999E-2</v>
      </c>
      <c r="E15">
        <v>101</v>
      </c>
      <c r="F15">
        <v>999999</v>
      </c>
      <c r="G15" s="7" t="b">
        <v>1</v>
      </c>
      <c r="H15" s="8">
        <v>25</v>
      </c>
    </row>
    <row r="16" spans="1:8" ht="15" thickBot="1" x14ac:dyDescent="0.4">
      <c r="A16" t="s">
        <v>14</v>
      </c>
      <c r="B16" s="1" t="s">
        <v>18</v>
      </c>
      <c r="C16" s="5" t="s">
        <v>35</v>
      </c>
      <c r="D16" s="3">
        <v>1</v>
      </c>
      <c r="E16">
        <v>1</v>
      </c>
      <c r="F16">
        <v>50.99</v>
      </c>
      <c r="G16" s="7" t="b">
        <v>0</v>
      </c>
      <c r="H16" s="8">
        <v>0</v>
      </c>
    </row>
    <row r="17" spans="1:8" ht="15" thickBot="1" x14ac:dyDescent="0.4">
      <c r="A17" t="s">
        <v>14</v>
      </c>
      <c r="B17" s="1" t="s">
        <v>19</v>
      </c>
      <c r="C17" s="5" t="s">
        <v>35</v>
      </c>
      <c r="D17" s="3">
        <v>1.5</v>
      </c>
      <c r="E17">
        <v>51</v>
      </c>
      <c r="F17">
        <v>100.99</v>
      </c>
      <c r="G17" s="7" t="b">
        <v>0</v>
      </c>
      <c r="H17" s="8">
        <v>0</v>
      </c>
    </row>
    <row r="18" spans="1:8" ht="15" thickBot="1" x14ac:dyDescent="0.4">
      <c r="A18" t="s">
        <v>14</v>
      </c>
      <c r="B18" s="1" t="s">
        <v>15</v>
      </c>
      <c r="C18" s="5" t="s">
        <v>37</v>
      </c>
      <c r="D18" s="3">
        <v>1.4999999999999999E-2</v>
      </c>
      <c r="E18">
        <v>101</v>
      </c>
      <c r="F18">
        <v>999999</v>
      </c>
      <c r="G18" s="7" t="b">
        <v>1</v>
      </c>
      <c r="H18" s="8">
        <v>25</v>
      </c>
    </row>
    <row r="19" spans="1:8" ht="15" thickBot="1" x14ac:dyDescent="0.4">
      <c r="A19" t="s">
        <v>14</v>
      </c>
      <c r="B19" s="1" t="s">
        <v>16</v>
      </c>
      <c r="C19" s="5" t="s">
        <v>35</v>
      </c>
      <c r="D19" s="3">
        <v>1</v>
      </c>
      <c r="E19">
        <v>1</v>
      </c>
      <c r="F19">
        <v>50.99</v>
      </c>
      <c r="G19" s="7" t="b">
        <v>0</v>
      </c>
      <c r="H19" s="8">
        <v>0</v>
      </c>
    </row>
    <row r="20" spans="1:8" ht="15" thickBot="1" x14ac:dyDescent="0.4">
      <c r="A20" t="s">
        <v>14</v>
      </c>
      <c r="B20" s="1" t="s">
        <v>17</v>
      </c>
      <c r="C20" s="5" t="s">
        <v>35</v>
      </c>
      <c r="D20" s="3">
        <v>1.5</v>
      </c>
      <c r="E20">
        <v>51</v>
      </c>
      <c r="F20">
        <v>100.99</v>
      </c>
      <c r="G20" s="7" t="b">
        <v>0</v>
      </c>
      <c r="H20" s="8">
        <v>0</v>
      </c>
    </row>
    <row r="21" spans="1:8" ht="15" thickBot="1" x14ac:dyDescent="0.4">
      <c r="A21" t="s">
        <v>14</v>
      </c>
      <c r="B21" s="1" t="s">
        <v>18</v>
      </c>
      <c r="C21" s="5" t="s">
        <v>37</v>
      </c>
      <c r="D21" s="3">
        <v>1.4999999999999999E-2</v>
      </c>
      <c r="E21">
        <v>101</v>
      </c>
      <c r="F21">
        <v>999999</v>
      </c>
      <c r="G21" s="7" t="b">
        <v>1</v>
      </c>
      <c r="H21" s="8">
        <v>25</v>
      </c>
    </row>
    <row r="22" spans="1:8" ht="15" thickBot="1" x14ac:dyDescent="0.4">
      <c r="A22" t="s">
        <v>14</v>
      </c>
      <c r="B22" s="1" t="s">
        <v>19</v>
      </c>
      <c r="C22" s="5" t="s">
        <v>35</v>
      </c>
      <c r="D22" s="3">
        <v>1</v>
      </c>
      <c r="E22">
        <v>1</v>
      </c>
      <c r="F22">
        <v>50.99</v>
      </c>
      <c r="G22" s="7" t="b">
        <v>0</v>
      </c>
      <c r="H22" s="8">
        <v>0</v>
      </c>
    </row>
    <row r="23" spans="1:8" ht="15" thickBot="1" x14ac:dyDescent="0.4">
      <c r="A23" t="s">
        <v>14</v>
      </c>
      <c r="B23" s="1" t="s">
        <v>15</v>
      </c>
      <c r="C23" s="5" t="s">
        <v>35</v>
      </c>
      <c r="D23" s="3">
        <v>1.5</v>
      </c>
      <c r="E23">
        <v>51</v>
      </c>
      <c r="F23">
        <v>100.99</v>
      </c>
      <c r="G23" s="7" t="b">
        <v>0</v>
      </c>
      <c r="H23" s="8">
        <v>0</v>
      </c>
    </row>
    <row r="24" spans="1:8" ht="15" thickBot="1" x14ac:dyDescent="0.4">
      <c r="A24" t="s">
        <v>14</v>
      </c>
      <c r="B24" s="1" t="s">
        <v>16</v>
      </c>
      <c r="C24" s="5" t="s">
        <v>37</v>
      </c>
      <c r="D24" s="3">
        <v>1.4999999999999999E-2</v>
      </c>
      <c r="E24">
        <v>101</v>
      </c>
      <c r="F24">
        <v>999999</v>
      </c>
      <c r="G24" s="7" t="b">
        <v>1</v>
      </c>
      <c r="H24" s="8">
        <v>25</v>
      </c>
    </row>
    <row r="25" spans="1:8" ht="15" thickBot="1" x14ac:dyDescent="0.4">
      <c r="A25" t="s">
        <v>14</v>
      </c>
      <c r="B25" s="1" t="s">
        <v>17</v>
      </c>
      <c r="C25" s="5" t="s">
        <v>35</v>
      </c>
      <c r="D25" s="3">
        <v>1</v>
      </c>
      <c r="E25">
        <v>1</v>
      </c>
      <c r="F25">
        <v>50.99</v>
      </c>
      <c r="G25" s="7" t="b">
        <v>0</v>
      </c>
      <c r="H25" s="8">
        <v>0</v>
      </c>
    </row>
    <row r="26" spans="1:8" ht="15" thickBot="1" x14ac:dyDescent="0.4">
      <c r="A26" t="s">
        <v>14</v>
      </c>
      <c r="B26" s="1" t="s">
        <v>18</v>
      </c>
      <c r="C26" s="5" t="s">
        <v>35</v>
      </c>
      <c r="D26" s="3">
        <v>1.5</v>
      </c>
      <c r="E26">
        <v>51</v>
      </c>
      <c r="F26">
        <v>100.99</v>
      </c>
      <c r="G26" s="7" t="b">
        <v>0</v>
      </c>
      <c r="H26" s="8">
        <v>0</v>
      </c>
    </row>
    <row r="27" spans="1:8" ht="15" thickBot="1" x14ac:dyDescent="0.4">
      <c r="A27" t="s">
        <v>14</v>
      </c>
      <c r="B27" s="1" t="s">
        <v>19</v>
      </c>
      <c r="C27" s="5" t="s">
        <v>37</v>
      </c>
      <c r="D27" s="3">
        <v>1.4999999999999999E-2</v>
      </c>
      <c r="E27">
        <v>101</v>
      </c>
      <c r="F27">
        <v>999999</v>
      </c>
      <c r="G27" s="7" t="b">
        <v>1</v>
      </c>
      <c r="H27" s="8">
        <v>25</v>
      </c>
    </row>
    <row r="28" spans="1:8" x14ac:dyDescent="0.35">
      <c r="B28" s="1"/>
      <c r="C28" s="1"/>
    </row>
    <row r="29" spans="1:8" x14ac:dyDescent="0.35">
      <c r="B29" s="1"/>
      <c r="C29" s="1"/>
    </row>
    <row r="30" spans="1:8" x14ac:dyDescent="0.35">
      <c r="B30" s="1"/>
      <c r="C30" s="1"/>
    </row>
    <row r="31" spans="1:8" x14ac:dyDescent="0.35">
      <c r="B31" s="1"/>
      <c r="C31" s="1"/>
    </row>
    <row r="32" spans="1:8" x14ac:dyDescent="0.35">
      <c r="B32" s="1"/>
      <c r="C32" s="1"/>
    </row>
    <row r="33" spans="2:3" x14ac:dyDescent="0.35">
      <c r="B33" s="1"/>
      <c r="C33" s="1"/>
    </row>
    <row r="34" spans="2:3" x14ac:dyDescent="0.35">
      <c r="B34" s="1"/>
      <c r="C34" s="1"/>
    </row>
    <row r="35" spans="2:3" x14ac:dyDescent="0.35">
      <c r="B35" s="1"/>
      <c r="C35" s="1"/>
    </row>
    <row r="36" spans="2:3" x14ac:dyDescent="0.35">
      <c r="B36" s="1"/>
      <c r="C36" s="1"/>
    </row>
    <row r="37" spans="2:3" x14ac:dyDescent="0.35">
      <c r="B37" s="1"/>
      <c r="C37" s="1"/>
    </row>
    <row r="38" spans="2:3" x14ac:dyDescent="0.35">
      <c r="B38" s="1"/>
      <c r="C38" s="1"/>
    </row>
    <row r="39" spans="2:3" x14ac:dyDescent="0.35">
      <c r="B39" s="1"/>
      <c r="C39" s="1"/>
    </row>
    <row r="40" spans="2:3" x14ac:dyDescent="0.35">
      <c r="B40" s="1"/>
      <c r="C40" s="1"/>
    </row>
    <row r="41" spans="2:3" x14ac:dyDescent="0.35">
      <c r="B41" s="1"/>
      <c r="C41" s="1"/>
    </row>
    <row r="42" spans="2:3" x14ac:dyDescent="0.35">
      <c r="B42" s="1"/>
      <c r="C42" s="1"/>
    </row>
    <row r="43" spans="2:3" x14ac:dyDescent="0.35">
      <c r="B43" s="1"/>
      <c r="C43" s="1"/>
    </row>
    <row r="44" spans="2:3" x14ac:dyDescent="0.35">
      <c r="B44" s="1"/>
      <c r="C44" s="1"/>
    </row>
    <row r="45" spans="2:3" x14ac:dyDescent="0.35">
      <c r="B45" s="1"/>
      <c r="C45" s="1"/>
    </row>
    <row r="46" spans="2:3" x14ac:dyDescent="0.35">
      <c r="B46" s="1"/>
      <c r="C46" s="1"/>
    </row>
    <row r="47" spans="2:3" x14ac:dyDescent="0.35">
      <c r="B47" s="1"/>
      <c r="C47" s="1"/>
    </row>
    <row r="48" spans="2:3" x14ac:dyDescent="0.35">
      <c r="B48" s="1"/>
      <c r="C48" s="1"/>
    </row>
  </sheetData>
  <autoFilter ref="A1:H12" xr:uid="{DD885731-E7FF-435C-A9B2-169479FA08B2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CBF6E-F7B9-466C-B37D-4BDA5D3DB5E8}">
  <dimension ref="A1:H48"/>
  <sheetViews>
    <sheetView workbookViewId="0">
      <selection activeCell="G2" sqref="G2:G12"/>
    </sheetView>
  </sheetViews>
  <sheetFormatPr defaultRowHeight="14.5" x14ac:dyDescent="0.35"/>
  <cols>
    <col min="1" max="1" width="15.1796875" bestFit="1" customWidth="1"/>
    <col min="2" max="2" width="27.36328125" bestFit="1" customWidth="1"/>
    <col min="3" max="3" width="27.36328125" customWidth="1"/>
    <col min="4" max="4" width="7.81640625" style="3" bestFit="1" customWidth="1"/>
    <col min="8" max="8" width="8.7265625" style="10"/>
  </cols>
  <sheetData>
    <row r="1" spans="1:8" ht="15" thickBot="1" x14ac:dyDescent="0.4">
      <c r="A1" t="s">
        <v>1</v>
      </c>
      <c r="B1" t="s">
        <v>10</v>
      </c>
      <c r="C1" s="5" t="s">
        <v>28</v>
      </c>
      <c r="D1" s="3" t="s">
        <v>31</v>
      </c>
      <c r="E1" t="s">
        <v>29</v>
      </c>
      <c r="F1" t="s">
        <v>30</v>
      </c>
      <c r="G1" t="s">
        <v>32</v>
      </c>
      <c r="H1" s="10" t="s">
        <v>33</v>
      </c>
    </row>
    <row r="2" spans="1:8" ht="15" thickBot="1" x14ac:dyDescent="0.4">
      <c r="A2" s="4" t="s">
        <v>5</v>
      </c>
      <c r="B2" s="1" t="s">
        <v>6</v>
      </c>
      <c r="C2" s="5" t="s">
        <v>34</v>
      </c>
      <c r="D2" s="3">
        <v>7.5375117894195362E-2</v>
      </c>
      <c r="E2">
        <v>0</v>
      </c>
      <c r="F2">
        <v>999999</v>
      </c>
      <c r="G2" t="b">
        <v>1</v>
      </c>
      <c r="H2" s="10">
        <v>0</v>
      </c>
    </row>
    <row r="3" spans="1:8" ht="15" thickBot="1" x14ac:dyDescent="0.4">
      <c r="A3" s="4" t="s">
        <v>5</v>
      </c>
      <c r="B3" s="1" t="s">
        <v>7</v>
      </c>
      <c r="C3" s="5" t="s">
        <v>34</v>
      </c>
      <c r="D3" s="3">
        <v>4.7637500000000006E-2</v>
      </c>
      <c r="E3">
        <v>0</v>
      </c>
      <c r="F3">
        <v>999999</v>
      </c>
      <c r="G3" t="b">
        <v>1</v>
      </c>
      <c r="H3" s="10">
        <v>0</v>
      </c>
    </row>
    <row r="4" spans="1:8" ht="15" thickBot="1" x14ac:dyDescent="0.4">
      <c r="A4" s="4" t="s">
        <v>5</v>
      </c>
      <c r="B4" s="1" t="s">
        <v>8</v>
      </c>
      <c r="C4" s="5" t="s">
        <v>34</v>
      </c>
      <c r="D4" s="3">
        <v>6.5419285215514586E-2</v>
      </c>
      <c r="E4">
        <v>0</v>
      </c>
      <c r="F4">
        <v>999999</v>
      </c>
      <c r="G4" t="b">
        <v>1</v>
      </c>
      <c r="H4" s="10">
        <v>0</v>
      </c>
    </row>
    <row r="5" spans="1:8" ht="15" thickBot="1" x14ac:dyDescent="0.4">
      <c r="A5" s="4" t="s">
        <v>5</v>
      </c>
      <c r="B5" s="1" t="s">
        <v>9</v>
      </c>
      <c r="C5" s="5" t="s">
        <v>34</v>
      </c>
      <c r="D5" s="3">
        <v>0.06</v>
      </c>
      <c r="E5">
        <v>0</v>
      </c>
      <c r="F5">
        <v>999999</v>
      </c>
      <c r="G5" t="b">
        <v>1</v>
      </c>
      <c r="H5" s="10">
        <v>0</v>
      </c>
    </row>
    <row r="6" spans="1:8" ht="15" thickBot="1" x14ac:dyDescent="0.4">
      <c r="A6" t="s">
        <v>11</v>
      </c>
      <c r="B6" s="1" t="s">
        <v>12</v>
      </c>
      <c r="C6" s="5" t="s">
        <v>34</v>
      </c>
      <c r="D6" s="3">
        <v>7.0000000000000048E-2</v>
      </c>
      <c r="E6">
        <v>0</v>
      </c>
      <c r="F6">
        <v>999999</v>
      </c>
      <c r="G6" t="b">
        <v>1</v>
      </c>
      <c r="H6" s="10">
        <v>0</v>
      </c>
    </row>
    <row r="7" spans="1:8" ht="15" thickBot="1" x14ac:dyDescent="0.4">
      <c r="A7" t="s">
        <v>11</v>
      </c>
      <c r="B7" s="1" t="s">
        <v>7</v>
      </c>
      <c r="C7" s="5" t="s">
        <v>34</v>
      </c>
      <c r="D7" s="3">
        <v>4.7522388059701506E-2</v>
      </c>
      <c r="E7">
        <v>0</v>
      </c>
      <c r="F7">
        <v>999999</v>
      </c>
      <c r="G7" t="b">
        <v>1</v>
      </c>
      <c r="H7" s="10">
        <v>0</v>
      </c>
    </row>
    <row r="8" spans="1:8" ht="15" thickBot="1" x14ac:dyDescent="0.4">
      <c r="A8" t="s">
        <v>11</v>
      </c>
      <c r="B8" s="1" t="s">
        <v>8</v>
      </c>
      <c r="C8" s="5" t="s">
        <v>34</v>
      </c>
      <c r="D8" s="3">
        <v>6.5528756957328307E-2</v>
      </c>
      <c r="E8">
        <v>0</v>
      </c>
      <c r="F8">
        <v>999999</v>
      </c>
      <c r="G8" t="b">
        <v>1</v>
      </c>
      <c r="H8" s="10">
        <v>0</v>
      </c>
    </row>
    <row r="9" spans="1:8" ht="15" thickBot="1" x14ac:dyDescent="0.4">
      <c r="A9" t="s">
        <v>11</v>
      </c>
      <c r="B9" s="1" t="s">
        <v>13</v>
      </c>
      <c r="C9" s="5" t="s">
        <v>34</v>
      </c>
      <c r="D9" s="3">
        <v>0.06</v>
      </c>
      <c r="E9">
        <v>0</v>
      </c>
      <c r="F9">
        <v>999999</v>
      </c>
      <c r="G9" t="b">
        <v>1</v>
      </c>
      <c r="H9" s="10">
        <v>0</v>
      </c>
    </row>
    <row r="10" spans="1:8" ht="15" thickBot="1" x14ac:dyDescent="0.4">
      <c r="A10" t="s">
        <v>20</v>
      </c>
      <c r="B10" s="1" t="s">
        <v>21</v>
      </c>
      <c r="C10" s="5" t="s">
        <v>34</v>
      </c>
      <c r="D10" s="2">
        <v>4.5448641834971826E-2</v>
      </c>
      <c r="E10">
        <v>0</v>
      </c>
      <c r="F10">
        <v>999999</v>
      </c>
      <c r="G10" t="b">
        <v>1</v>
      </c>
      <c r="H10" s="10">
        <v>0</v>
      </c>
    </row>
    <row r="11" spans="1:8" ht="15" thickBot="1" x14ac:dyDescent="0.4">
      <c r="A11" t="s">
        <v>20</v>
      </c>
      <c r="B11" s="1" t="s">
        <v>27</v>
      </c>
      <c r="C11" s="5" t="s">
        <v>34</v>
      </c>
      <c r="D11" s="3">
        <v>1.7066593849199577E-2</v>
      </c>
      <c r="E11">
        <v>0</v>
      </c>
      <c r="F11">
        <v>999999</v>
      </c>
      <c r="G11" t="b">
        <v>1</v>
      </c>
      <c r="H11" s="10">
        <v>0</v>
      </c>
    </row>
    <row r="12" spans="1:8" ht="15" thickBot="1" x14ac:dyDescent="0.4">
      <c r="A12" t="s">
        <v>20</v>
      </c>
      <c r="B12" s="1" t="s">
        <v>22</v>
      </c>
      <c r="C12" s="5" t="s">
        <v>34</v>
      </c>
      <c r="D12" s="3">
        <v>2.9820293494467551E-2</v>
      </c>
      <c r="E12">
        <v>0</v>
      </c>
      <c r="F12">
        <v>999999</v>
      </c>
      <c r="G12" t="b">
        <v>1</v>
      </c>
      <c r="H12" s="10">
        <v>0</v>
      </c>
    </row>
    <row r="13" spans="1:8" x14ac:dyDescent="0.35">
      <c r="B13" s="1"/>
      <c r="C13" s="1"/>
    </row>
    <row r="14" spans="1:8" x14ac:dyDescent="0.35">
      <c r="B14" s="1"/>
      <c r="C14" s="1"/>
    </row>
    <row r="15" spans="1:8" x14ac:dyDescent="0.35">
      <c r="B15" s="1"/>
      <c r="C15" s="1"/>
    </row>
    <row r="16" spans="1:8" x14ac:dyDescent="0.35">
      <c r="B16" s="1"/>
      <c r="C16" s="1"/>
    </row>
    <row r="17" spans="2:3" x14ac:dyDescent="0.35">
      <c r="B17" s="1"/>
      <c r="C17" s="1"/>
    </row>
    <row r="18" spans="2:3" x14ac:dyDescent="0.35">
      <c r="B18" s="1"/>
      <c r="C18" s="1"/>
    </row>
    <row r="19" spans="2:3" x14ac:dyDescent="0.35">
      <c r="B19" s="1"/>
      <c r="C19" s="1"/>
    </row>
    <row r="20" spans="2:3" x14ac:dyDescent="0.35">
      <c r="B20" s="1"/>
      <c r="C20" s="1"/>
    </row>
    <row r="21" spans="2:3" x14ac:dyDescent="0.35">
      <c r="B21" s="1"/>
      <c r="C21" s="1"/>
    </row>
    <row r="22" spans="2:3" x14ac:dyDescent="0.35">
      <c r="B22" s="1"/>
      <c r="C22" s="1"/>
    </row>
    <row r="23" spans="2:3" x14ac:dyDescent="0.35">
      <c r="B23" s="1"/>
      <c r="C23" s="1"/>
    </row>
    <row r="24" spans="2:3" x14ac:dyDescent="0.35">
      <c r="B24" s="1"/>
      <c r="C24" s="1"/>
    </row>
    <row r="25" spans="2:3" x14ac:dyDescent="0.35">
      <c r="B25" s="1"/>
      <c r="C25" s="1"/>
    </row>
    <row r="26" spans="2:3" x14ac:dyDescent="0.35">
      <c r="B26" s="1"/>
      <c r="C26" s="1"/>
    </row>
    <row r="27" spans="2:3" x14ac:dyDescent="0.35">
      <c r="B27" s="1"/>
      <c r="C27" s="1"/>
    </row>
    <row r="28" spans="2:3" x14ac:dyDescent="0.35">
      <c r="B28" s="1"/>
      <c r="C28" s="1"/>
    </row>
    <row r="29" spans="2:3" x14ac:dyDescent="0.35">
      <c r="B29" s="1"/>
      <c r="C29" s="1"/>
    </row>
    <row r="30" spans="2:3" x14ac:dyDescent="0.35">
      <c r="B30" s="1"/>
      <c r="C30" s="1"/>
    </row>
    <row r="31" spans="2:3" x14ac:dyDescent="0.35">
      <c r="B31" s="1"/>
      <c r="C31" s="1"/>
    </row>
    <row r="32" spans="2:3" x14ac:dyDescent="0.35">
      <c r="B32" s="1"/>
      <c r="C32" s="1"/>
    </row>
    <row r="33" spans="2:3" x14ac:dyDescent="0.35">
      <c r="B33" s="1"/>
      <c r="C33" s="1"/>
    </row>
    <row r="34" spans="2:3" x14ac:dyDescent="0.35">
      <c r="B34" s="1"/>
      <c r="C34" s="1"/>
    </row>
    <row r="35" spans="2:3" x14ac:dyDescent="0.35">
      <c r="B35" s="1"/>
      <c r="C35" s="1"/>
    </row>
    <row r="36" spans="2:3" x14ac:dyDescent="0.35">
      <c r="B36" s="1"/>
      <c r="C36" s="1"/>
    </row>
    <row r="37" spans="2:3" x14ac:dyDescent="0.35">
      <c r="B37" s="1"/>
      <c r="C37" s="1"/>
    </row>
    <row r="38" spans="2:3" x14ac:dyDescent="0.35">
      <c r="B38" s="1"/>
      <c r="C38" s="1"/>
    </row>
    <row r="39" spans="2:3" x14ac:dyDescent="0.35">
      <c r="B39" s="1"/>
      <c r="C39" s="1"/>
    </row>
    <row r="40" spans="2:3" x14ac:dyDescent="0.35">
      <c r="B40" s="1"/>
      <c r="C40" s="1"/>
    </row>
    <row r="41" spans="2:3" x14ac:dyDescent="0.35">
      <c r="B41" s="1"/>
      <c r="C41" s="1"/>
    </row>
    <row r="42" spans="2:3" x14ac:dyDescent="0.35">
      <c r="B42" s="1"/>
      <c r="C42" s="1"/>
    </row>
    <row r="43" spans="2:3" x14ac:dyDescent="0.35">
      <c r="B43" s="1"/>
      <c r="C43" s="1"/>
    </row>
    <row r="44" spans="2:3" x14ac:dyDescent="0.35">
      <c r="B44" s="1"/>
      <c r="C44" s="1"/>
    </row>
    <row r="45" spans="2:3" x14ac:dyDescent="0.35">
      <c r="B45" s="1"/>
      <c r="C45" s="1"/>
    </row>
    <row r="46" spans="2:3" x14ac:dyDescent="0.35">
      <c r="B46" s="1"/>
      <c r="C46" s="1"/>
    </row>
    <row r="47" spans="2:3" x14ac:dyDescent="0.35">
      <c r="B47" s="1"/>
      <c r="C47" s="1"/>
    </row>
    <row r="48" spans="2:3" x14ac:dyDescent="0.35">
      <c r="B48" s="1"/>
      <c r="C48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Corporate</vt:lpstr>
      <vt:lpstr>Retail</vt:lpstr>
      <vt:lpstr>SMB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 Rockson</dc:creator>
  <cp:lastModifiedBy>Prince Acquah  Rockson</cp:lastModifiedBy>
  <dcterms:created xsi:type="dcterms:W3CDTF">2015-06-05T18:17:20Z</dcterms:created>
  <dcterms:modified xsi:type="dcterms:W3CDTF">2026-04-27T11:03:13Z</dcterms:modified>
</cp:coreProperties>
</file>