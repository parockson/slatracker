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.acquahrockson\Desktop\Sla-tracker\config\"/>
    </mc:Choice>
  </mc:AlternateContent>
  <xr:revisionPtr revIDLastSave="0" documentId="13_ncr:1_{9C1ED48A-D196-4F95-8938-EA229DFB97C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porate" sheetId="1" r:id="rId1"/>
    <sheet name="Sheet1" sheetId="4" r:id="rId2"/>
    <sheet name="Retail" sheetId="2" r:id="rId3"/>
    <sheet name="SMB" sheetId="3" r:id="rId4"/>
  </sheets>
  <definedNames>
    <definedName name="_xlnm._FilterDatabase" localSheetId="0" hidden="1">Corporate!$A$1:$C$56</definedName>
    <definedName name="_xlnm._FilterDatabase" localSheetId="1" hidden="1">Sheet1!$A$1:$R$133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8" i="1" l="1"/>
  <c r="C67" i="1"/>
  <c r="C8" i="1"/>
  <c r="C48" i="1"/>
  <c r="C64" i="1"/>
  <c r="C32" i="1"/>
  <c r="C29" i="1"/>
  <c r="C12" i="1"/>
  <c r="C11" i="1"/>
  <c r="C7" i="1"/>
  <c r="C57" i="1"/>
  <c r="C15" i="1"/>
  <c r="C3" i="1"/>
  <c r="C60" i="1" l="1"/>
  <c r="C38" i="1"/>
  <c r="D13" i="4"/>
  <c r="K9" i="4"/>
  <c r="J9" i="4"/>
</calcChain>
</file>

<file path=xl/sharedStrings.xml><?xml version="1.0" encoding="utf-8"?>
<sst xmlns="http://schemas.openxmlformats.org/spreadsheetml/2006/main" count="562" uniqueCount="146">
  <si>
    <t>Name</t>
  </si>
  <si>
    <t>Category</t>
  </si>
  <si>
    <t>Target</t>
  </si>
  <si>
    <t>ASANTE KOTOKO SPORTING CLUB LIMITED</t>
  </si>
  <si>
    <t>AYATICKETS LTD.</t>
  </si>
  <si>
    <t>BLUE IDEAR</t>
  </si>
  <si>
    <t>Coronation Insurance</t>
  </si>
  <si>
    <t>EBENEZER THOMPSON MEMORIAL SCHOOL</t>
  </si>
  <si>
    <t>FAITHWORD CHARISMATIC MINISTRIES</t>
  </si>
  <si>
    <t>Ga Rural Bank Limited</t>
  </si>
  <si>
    <t>GameKaya (Efini)</t>
  </si>
  <si>
    <t>Hydro Co-operative Credit Union</t>
  </si>
  <si>
    <t>Hyper Pay Ghana</t>
  </si>
  <si>
    <t>IGNITIA GHANA LTD</t>
  </si>
  <si>
    <t>INGAME TECHNOLOGY LTD</t>
  </si>
  <si>
    <t>KORBA PAY</t>
  </si>
  <si>
    <t>Kwami Alone Enterprise</t>
  </si>
  <si>
    <t>Loud Company Limited</t>
  </si>
  <si>
    <t>LUCKYLIVE (FORTULIVE)</t>
  </si>
  <si>
    <t>Mighty Service Venture</t>
  </si>
  <si>
    <t>mNotify Company Limited</t>
  </si>
  <si>
    <t>Mobicom Excite</t>
  </si>
  <si>
    <t>POLICE HOSPITAL CO-OPERATIVE CREDIT UNION</t>
  </si>
  <si>
    <t>POWERCARE ENERGY LTD</t>
  </si>
  <si>
    <t>PRESTO SOLUTIONS</t>
  </si>
  <si>
    <t>Prudential Life</t>
  </si>
  <si>
    <t>Rancard Solutions</t>
  </si>
  <si>
    <t>ROBSAM TECHNOLOGIES</t>
  </si>
  <si>
    <t>Roverman Production</t>
  </si>
  <si>
    <t>SAVEST TECHNOLOGY LIMITED</t>
  </si>
  <si>
    <t>Speakupp Digital Services</t>
  </si>
  <si>
    <t>STASH UP SUSU ENTERPRISE</t>
  </si>
  <si>
    <t>Sunflower</t>
  </si>
  <si>
    <t>TOP MENSAH VENTURES</t>
  </si>
  <si>
    <t>UGCCU</t>
  </si>
  <si>
    <t>VICTORY BIBLE CHURCH INTERNATIONAL</t>
  </si>
  <si>
    <t>WIWI GAMING AND ENTERTAINMENT LIMITED</t>
  </si>
  <si>
    <t>Collection</t>
  </si>
  <si>
    <t>AFWEST INTERNATIONAL SECURITY</t>
  </si>
  <si>
    <t>AYA TICKETS</t>
  </si>
  <si>
    <t>ENTERPRISE CLAIMS</t>
  </si>
  <si>
    <t>ENTERPRISE FUNERAL SERVICES GHANA LIMITED</t>
  </si>
  <si>
    <t>KRISH TECH ENTERPRISE</t>
  </si>
  <si>
    <t>Loyalty Insurance Disbursement</t>
  </si>
  <si>
    <t>Omni Group Ghana ltd</t>
  </si>
  <si>
    <t>Disbursement</t>
  </si>
  <si>
    <t>E-Distribution</t>
  </si>
  <si>
    <t>SUPER 'J' CY-BUSINESS AND SERVICES</t>
  </si>
  <si>
    <t>Airtime Purchase</t>
  </si>
  <si>
    <t>AT_TOPUP</t>
  </si>
  <si>
    <t>MPAY</t>
  </si>
  <si>
    <t>rancard_voda</t>
  </si>
  <si>
    <t>YELLOW_CURRENCY_AIRTIME</t>
  </si>
  <si>
    <t>Disbursement Channel Name</t>
  </si>
  <si>
    <t>Data Purchase</t>
  </si>
  <si>
    <t>AT_DATA</t>
  </si>
  <si>
    <t>YELLOW_CURRENCY_DATA</t>
  </si>
  <si>
    <t>Funds Transfer</t>
  </si>
  <si>
    <t>AT Main</t>
  </si>
  <si>
    <t>GHIPPS</t>
  </si>
  <si>
    <t>MTN MAD API</t>
  </si>
  <si>
    <t>MTN_DIRECT_CREDIT</t>
  </si>
  <si>
    <t>Telecel Main</t>
  </si>
  <si>
    <t>Utilities</t>
  </si>
  <si>
    <t>ECG Direct</t>
  </si>
  <si>
    <t>ETRANSACT</t>
  </si>
  <si>
    <t>Bible Society Ghana</t>
  </si>
  <si>
    <t>DARTEY CYBER SOLUTION</t>
  </si>
  <si>
    <t>EVANNE LIGHTHOUSE CHRISTIAN SCHOOL</t>
  </si>
  <si>
    <t>First Finance Company Limited</t>
  </si>
  <si>
    <t>Chatbots Ghana</t>
  </si>
  <si>
    <t>City Xtra</t>
  </si>
  <si>
    <t>DANPONG HEALTHCARE</t>
  </si>
  <si>
    <t>GH BET</t>
  </si>
  <si>
    <t>Grace Buds Montessori</t>
  </si>
  <si>
    <t>Kampaign Live</t>
  </si>
  <si>
    <t>LIFELINE FOR CHILDHOOD CANCER GHANA</t>
  </si>
  <si>
    <t>mNotify Resellers</t>
  </si>
  <si>
    <t>RESOLUT BUSINESS SOLUTIONS LTD</t>
  </si>
  <si>
    <t>RETAILEDGE SOFTWARE LABS</t>
  </si>
  <si>
    <t>S. K. BOAFO &amp; COMPANY-ACCRA</t>
  </si>
  <si>
    <t>S.K. BOAFO &amp;amp; COMPANY - KUMASI</t>
  </si>
  <si>
    <t>Top Connect Limited</t>
  </si>
  <si>
    <t>Remittance</t>
  </si>
  <si>
    <t>INTERZEN MICROFINANCE LIMITED</t>
  </si>
  <si>
    <t>KELEMM TECHNOLOGY GHANA</t>
  </si>
  <si>
    <t>OPEN GATEWAY COMPANY LTD</t>
  </si>
  <si>
    <t>REPTECH COMPANY LIMITED</t>
  </si>
  <si>
    <t>ASANTE KOTOKO SPORTING CLUB LIMITED SUB</t>
  </si>
  <si>
    <t>BENBOABEN PLUS LIMITED COMPANY</t>
  </si>
  <si>
    <t>EBONY OIL AND GAS LIMITED</t>
  </si>
  <si>
    <t>Group of pages Limited Company</t>
  </si>
  <si>
    <t>MTECH COMMUNICATION</t>
  </si>
  <si>
    <t>NAIRAGRAM LLC</t>
  </si>
  <si>
    <t>OA PAY</t>
  </si>
  <si>
    <t>ACCRA HEARTS OF OAK SC</t>
  </si>
  <si>
    <t>SPEL BAG</t>
  </si>
  <si>
    <t>STARTIMES SYSTEMS LTD</t>
  </si>
  <si>
    <t>OLD MAWULI STUDENTS UNION</t>
  </si>
  <si>
    <t>Old Mutual</t>
  </si>
  <si>
    <t>Roze Int Pvt Ltd</t>
  </si>
  <si>
    <t>S. K. BOAFO &amp;amp; COMPANY-ACCRA</t>
  </si>
  <si>
    <t>TAPTAP SEND UK LIMITED</t>
  </si>
  <si>
    <t>WINGIPAY</t>
  </si>
  <si>
    <t>PRESBYTERIAN CHURCH OF GHANA</t>
  </si>
  <si>
    <t>BF PETROLEUM</t>
  </si>
  <si>
    <t>Loyalty Insurance Collection</t>
  </si>
  <si>
    <t>Oweg Agency Ltd</t>
  </si>
  <si>
    <t>RC Solutions Ltd</t>
  </si>
  <si>
    <t>WINWIN GAMES</t>
  </si>
  <si>
    <t>TMCube</t>
  </si>
  <si>
    <t>CEDRON TECHNOLOGY SOLUTION LTD</t>
  </si>
  <si>
    <t>CHRIST VISION SANCTUARY</t>
  </si>
  <si>
    <t>CORRAL SYSTEMS LIMITED</t>
  </si>
  <si>
    <t>Empowerment Worship Center</t>
  </si>
  <si>
    <t>GLE - CONNECT LTD</t>
  </si>
  <si>
    <t>HIM INITIATIVE LBG</t>
  </si>
  <si>
    <t>Loyalty Insurance Claims</t>
  </si>
  <si>
    <t>The Bakery Technology Limited</t>
  </si>
  <si>
    <t>NEW_GWCL</t>
  </si>
  <si>
    <t>service</t>
  </si>
  <si>
    <t>Client</t>
  </si>
  <si>
    <t>Rate %</t>
  </si>
  <si>
    <t>2001-1000000</t>
  </si>
  <si>
    <t>SLA start</t>
  </si>
  <si>
    <t>SLA end</t>
  </si>
  <si>
    <t>Comment</t>
  </si>
  <si>
    <t>SLA NA</t>
  </si>
  <si>
    <t>Approved</t>
  </si>
  <si>
    <t>NA</t>
  </si>
  <si>
    <t>Card%</t>
  </si>
  <si>
    <t>101-1000.99(%)</t>
  </si>
  <si>
    <t>1001-2000.99(%)</t>
  </si>
  <si>
    <t>Type</t>
  </si>
  <si>
    <t>Regular</t>
  </si>
  <si>
    <t>tiered</t>
  </si>
  <si>
    <t>Rate GHC</t>
  </si>
  <si>
    <t>Bank(GHC)</t>
  </si>
  <si>
    <t>Capped(GHC)</t>
  </si>
  <si>
    <t>1-50.99(GHC)</t>
  </si>
  <si>
    <t>51-100.99(GHC)</t>
  </si>
  <si>
    <t>101-1000.99(GHC)</t>
  </si>
  <si>
    <t>1001-2000.99(GHC)</t>
  </si>
  <si>
    <t>DEVPLUSE TECHNOLOGY</t>
  </si>
  <si>
    <t>Jesi Education Technology Ltd.</t>
  </si>
  <si>
    <t>Progressive Security Co.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</si>
</sst>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_);_(* \(#,##0.000\);_(* &quot;-&quot;??_);_(@_)"/>
    <numFmt numFmtId="165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1" fillId="0" borderId="0" xfId="1" applyNumberFormat="1" applyFont="1"/>
    <xf numFmtId="0" fontId="0" fillId="0" borderId="1" xfId="0" applyBorder="1" applyAlignment="1">
      <alignment horizontal="left"/>
    </xf>
    <xf numFmtId="14" fontId="0" fillId="0" borderId="0" xfId="0" applyNumberFormat="1"/>
    <xf numFmtId="10" fontId="0" fillId="0" borderId="0" xfId="0" applyNumberFormat="1"/>
    <xf numFmtId="10" fontId="0" fillId="0" borderId="0" xfId="2" applyNumberFormat="1" applyFont="1"/>
    <xf numFmtId="2" fontId="0" fillId="0" borderId="0" xfId="2" applyNumberFormat="1" applyFont="1"/>
    <xf numFmtId="0" fontId="2" fillId="0" borderId="0" xfId="0" applyFont="1"/>
    <xf numFmtId="10" fontId="2" fillId="0" borderId="0" xfId="2" applyNumberFormat="1" applyFont="1"/>
    <xf numFmtId="2" fontId="2" fillId="0" borderId="0" xfId="2" applyNumberFormat="1" applyFont="1"/>
    <xf numFmtId="165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9B56AE-C277-47EC-94C7-F16FE2A5778C}" name="Table1" displayName="Table1" ref="A1:R133" totalsRowShown="0" headerRowDxfId="6">
  <autoFilter ref="A1:R133" xr:uid="{DBFEA6B2-9D01-4B24-AA77-47F03E8B424F}"/>
  <sortState xmlns:xlrd2="http://schemas.microsoft.com/office/spreadsheetml/2017/richdata2" ref="A2:R133">
    <sortCondition ref="B1:B133"/>
  </sortState>
  <tableColumns count="18">
    <tableColumn id="1" xr3:uid="{47B02190-EED4-4B9A-BD89-AFBBE4A8C20B}" name="service"/>
    <tableColumn id="2" xr3:uid="{EF45BA29-A457-4D23-BC22-84BBDBB7C89C}" name="Client"/>
    <tableColumn id="3" xr3:uid="{2DE86EC4-6604-4181-B0E7-54F309000BAD}" name="Type"/>
    <tableColumn id="4" xr3:uid="{DD578595-7609-4929-87C1-C632796116AE}" name="Rate %" dataDxfId="5" dataCellStyle="Percent"/>
    <tableColumn id="5" xr3:uid="{54EABEFF-98E6-4AC6-AA42-A27D73265558}" name="Capped(GHC)" dataDxfId="4" dataCellStyle="Percent"/>
    <tableColumn id="6" xr3:uid="{86803708-5869-460C-AB88-80E22934B585}" name="Rate GHC" dataDxfId="3" dataCellStyle="Percent"/>
    <tableColumn id="7" xr3:uid="{D6D59741-6F9C-457A-B699-39F04F508A3D}" name="1-50.99(GHC)"/>
    <tableColumn id="8" xr3:uid="{F00D4508-42CA-4140-96C4-2927A1CB8577}" name="51-100.99(GHC)"/>
    <tableColumn id="9" xr3:uid="{D3B3A3D8-5AB5-464B-B906-482B62B2198F}" name="101-1000.99(GHC)"/>
    <tableColumn id="10" xr3:uid="{BDF22EB3-FC9A-4B26-84FB-BBE3DDC564AB}" name="101-1000.99(%)"/>
    <tableColumn id="11" xr3:uid="{F31ED1FD-C712-4459-AD13-98C8CC6F5D95}" name="1001-2000.99(%)" dataDxfId="2" dataCellStyle="Percent"/>
    <tableColumn id="18" xr3:uid="{B81F3138-F40E-49FD-AD79-EE7E5B77C13C}" name="1001-2000.99(GHC)" dataDxfId="1" dataCellStyle="Percent"/>
    <tableColumn id="12" xr3:uid="{49CE33E1-A934-432A-A6D7-89406C003D2C}" name="2001-1000000"/>
    <tableColumn id="13" xr3:uid="{D3E02E61-056A-4526-97FB-A7C813ABCB5B}" name="Card%" dataDxfId="0" dataCellStyle="Percent"/>
    <tableColumn id="14" xr3:uid="{18798627-0106-41A2-AD65-17EFAB413212}" name="Bank(GHC)"/>
    <tableColumn id="15" xr3:uid="{9E803BBD-2A14-4C07-9333-033B2E0A1B7F}" name="SLA start"/>
    <tableColumn id="16" xr3:uid="{2FE62DA3-98AF-4526-8699-5C55F9891691}" name="SLA end"/>
    <tableColumn id="17" xr3:uid="{E0A7B368-FB59-4513-821F-CF27B84C0EC7}" name="Comment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8"/>
  <sheetViews>
    <sheetView tabSelected="1" topLeftCell="A64" workbookViewId="0">
      <selection activeCell="A69" sqref="A69:XFD69"/>
    </sheetView>
  </sheetViews>
  <sheetFormatPr defaultRowHeight="14.5" x14ac:dyDescent="0.35"/>
  <cols>
    <col min="1" max="1" width="12.453125" bestFit="1" customWidth="1"/>
    <col min="2" max="2" width="42.90625" bestFit="1" customWidth="1"/>
    <col min="3" max="3" width="11.81640625" style="12" bestFit="1" customWidth="1"/>
  </cols>
  <sheetData>
    <row r="1" spans="1:3" x14ac:dyDescent="0.35">
      <c r="A1" t="s">
        <v>1</v>
      </c>
      <c r="B1" t="s">
        <v>0</v>
      </c>
      <c r="C1" s="12" t="s">
        <v>2</v>
      </c>
    </row>
    <row r="2" spans="1:3" x14ac:dyDescent="0.35">
      <c r="A2" t="s">
        <v>37</v>
      </c>
      <c r="B2" s="1" t="s">
        <v>95</v>
      </c>
      <c r="C2" s="12">
        <v>0.02</v>
      </c>
    </row>
    <row r="3" spans="1:3" x14ac:dyDescent="0.35">
      <c r="A3" t="s">
        <v>45</v>
      </c>
      <c r="B3" s="1" t="s">
        <v>38</v>
      </c>
      <c r="C3" s="12">
        <f>0.5%</f>
        <v>5.0000000000000001E-3</v>
      </c>
    </row>
    <row r="4" spans="1:3" x14ac:dyDescent="0.35">
      <c r="A4" t="s">
        <v>37</v>
      </c>
      <c r="B4" s="1" t="s">
        <v>3</v>
      </c>
      <c r="C4" s="12">
        <v>0.05</v>
      </c>
    </row>
    <row r="5" spans="1:3" x14ac:dyDescent="0.35">
      <c r="A5" t="s">
        <v>45</v>
      </c>
      <c r="B5" s="1" t="s">
        <v>39</v>
      </c>
      <c r="C5" s="12">
        <v>5.000000000000001E-3</v>
      </c>
    </row>
    <row r="6" spans="1:3" x14ac:dyDescent="0.35">
      <c r="A6" t="s">
        <v>37</v>
      </c>
      <c r="B6" s="1" t="s">
        <v>4</v>
      </c>
      <c r="C6" s="12">
        <v>1.4999999999999998E-2</v>
      </c>
    </row>
    <row r="7" spans="1:3" x14ac:dyDescent="0.35">
      <c r="A7" t="s">
        <v>37</v>
      </c>
      <c r="B7" s="1" t="s">
        <v>89</v>
      </c>
      <c r="C7" s="12">
        <f>1.5%</f>
        <v>1.4999999999999999E-2</v>
      </c>
    </row>
    <row r="8" spans="1:3" x14ac:dyDescent="0.35">
      <c r="A8" t="s">
        <v>45</v>
      </c>
      <c r="B8" s="1" t="s">
        <v>89</v>
      </c>
      <c r="C8" s="12">
        <f>1%</f>
        <v>0.01</v>
      </c>
    </row>
    <row r="9" spans="1:3" x14ac:dyDescent="0.35">
      <c r="A9" t="s">
        <v>37</v>
      </c>
      <c r="B9" s="1" t="s">
        <v>5</v>
      </c>
      <c r="C9" s="12">
        <v>1.5000000000000005E-2</v>
      </c>
    </row>
    <row r="10" spans="1:3" x14ac:dyDescent="0.35">
      <c r="A10" t="s">
        <v>37</v>
      </c>
      <c r="B10" s="1" t="s">
        <v>6</v>
      </c>
      <c r="C10" s="12">
        <v>1.5000000000000003E-2</v>
      </c>
    </row>
    <row r="11" spans="1:3" x14ac:dyDescent="0.35">
      <c r="A11" t="s">
        <v>37</v>
      </c>
      <c r="B11" s="1" t="s">
        <v>143</v>
      </c>
      <c r="C11" s="12">
        <f>1.5%</f>
        <v>1.4999999999999999E-2</v>
      </c>
    </row>
    <row r="12" spans="1:3" x14ac:dyDescent="0.35">
      <c r="A12" t="s">
        <v>45</v>
      </c>
      <c r="B12" s="1" t="s">
        <v>143</v>
      </c>
      <c r="C12" s="12">
        <f>1%</f>
        <v>0.01</v>
      </c>
    </row>
    <row r="13" spans="1:3" x14ac:dyDescent="0.35">
      <c r="A13" t="s">
        <v>37</v>
      </c>
      <c r="B13" s="1" t="s">
        <v>7</v>
      </c>
      <c r="C13" s="12">
        <v>1.4999999999999999E-2</v>
      </c>
    </row>
    <row r="14" spans="1:3" x14ac:dyDescent="0.35">
      <c r="A14" t="s">
        <v>37</v>
      </c>
      <c r="B14" s="1" t="s">
        <v>114</v>
      </c>
      <c r="C14" s="12">
        <v>0.02</v>
      </c>
    </row>
    <row r="15" spans="1:3" x14ac:dyDescent="0.35">
      <c r="A15" t="s">
        <v>45</v>
      </c>
      <c r="B15" s="1" t="s">
        <v>40</v>
      </c>
      <c r="C15" s="12">
        <f>1.5%</f>
        <v>1.4999999999999999E-2</v>
      </c>
    </row>
    <row r="16" spans="1:3" x14ac:dyDescent="0.35">
      <c r="A16" t="s">
        <v>45</v>
      </c>
      <c r="B16" s="1" t="s">
        <v>41</v>
      </c>
      <c r="C16" s="12">
        <v>3.0919741680237212E-3</v>
      </c>
    </row>
    <row r="17" spans="1:3" x14ac:dyDescent="0.35">
      <c r="A17" t="s">
        <v>37</v>
      </c>
      <c r="B17" s="1" t="s">
        <v>8</v>
      </c>
      <c r="C17" s="12">
        <v>1.4999999999999999E-2</v>
      </c>
    </row>
    <row r="18" spans="1:3" x14ac:dyDescent="0.35">
      <c r="A18" t="s">
        <v>37</v>
      </c>
      <c r="B18" s="1" t="s">
        <v>9</v>
      </c>
      <c r="C18" s="12">
        <v>9.9999999999999985E-3</v>
      </c>
    </row>
    <row r="19" spans="1:3" x14ac:dyDescent="0.35">
      <c r="A19" t="s">
        <v>45</v>
      </c>
      <c r="B19" s="1" t="s">
        <v>9</v>
      </c>
      <c r="C19" s="12">
        <v>3.3075860458781641E-3</v>
      </c>
    </row>
    <row r="20" spans="1:3" x14ac:dyDescent="0.35">
      <c r="A20" t="s">
        <v>46</v>
      </c>
      <c r="B20" s="1" t="s">
        <v>9</v>
      </c>
      <c r="C20" s="12">
        <v>0.19421428571428576</v>
      </c>
    </row>
    <row r="21" spans="1:3" x14ac:dyDescent="0.35">
      <c r="A21" t="s">
        <v>37</v>
      </c>
      <c r="B21" s="1" t="s">
        <v>10</v>
      </c>
      <c r="C21" s="12">
        <v>1.7999999999999999E-2</v>
      </c>
    </row>
    <row r="22" spans="1:3" x14ac:dyDescent="0.35">
      <c r="A22" t="s">
        <v>37</v>
      </c>
      <c r="B22" s="1" t="s">
        <v>11</v>
      </c>
      <c r="C22" s="12">
        <v>0.01</v>
      </c>
    </row>
    <row r="23" spans="1:3" x14ac:dyDescent="0.35">
      <c r="A23" t="s">
        <v>45</v>
      </c>
      <c r="B23" s="1" t="s">
        <v>11</v>
      </c>
      <c r="C23" s="12">
        <v>4.9999999999999992E-3</v>
      </c>
    </row>
    <row r="24" spans="1:3" x14ac:dyDescent="0.35">
      <c r="A24" t="s">
        <v>37</v>
      </c>
      <c r="B24" s="1" t="s">
        <v>12</v>
      </c>
      <c r="C24" s="12">
        <v>1.1999999999999999E-2</v>
      </c>
    </row>
    <row r="25" spans="1:3" x14ac:dyDescent="0.35">
      <c r="A25" t="s">
        <v>45</v>
      </c>
      <c r="B25" s="1" t="s">
        <v>12</v>
      </c>
      <c r="C25" s="12">
        <v>5.000000000000001E-3</v>
      </c>
    </row>
    <row r="26" spans="1:3" x14ac:dyDescent="0.35">
      <c r="A26" t="s">
        <v>37</v>
      </c>
      <c r="B26" s="1" t="s">
        <v>13</v>
      </c>
      <c r="C26" s="12">
        <v>1.0000000000000963E-2</v>
      </c>
    </row>
    <row r="27" spans="1:3" x14ac:dyDescent="0.35">
      <c r="A27" t="s">
        <v>37</v>
      </c>
      <c r="B27" s="1" t="s">
        <v>14</v>
      </c>
      <c r="C27" s="12">
        <v>1.7999999999999947E-2</v>
      </c>
    </row>
    <row r="28" spans="1:3" x14ac:dyDescent="0.35">
      <c r="A28" t="s">
        <v>45</v>
      </c>
      <c r="B28" s="1" t="s">
        <v>14</v>
      </c>
      <c r="C28" s="12">
        <v>4.0000000000000002E-4</v>
      </c>
    </row>
    <row r="29" spans="1:3" x14ac:dyDescent="0.35">
      <c r="A29" t="s">
        <v>37</v>
      </c>
      <c r="B29" s="1" t="s">
        <v>144</v>
      </c>
      <c r="C29" s="12">
        <f>1.5%</f>
        <v>1.4999999999999999E-2</v>
      </c>
    </row>
    <row r="30" spans="1:3" x14ac:dyDescent="0.35">
      <c r="A30" t="s">
        <v>37</v>
      </c>
      <c r="B30" s="1" t="s">
        <v>15</v>
      </c>
      <c r="C30" s="12">
        <v>1.2499999999999999E-2</v>
      </c>
    </row>
    <row r="31" spans="1:3" x14ac:dyDescent="0.35">
      <c r="A31" t="s">
        <v>45</v>
      </c>
      <c r="B31" s="1" t="s">
        <v>42</v>
      </c>
      <c r="C31" s="12">
        <v>5.0000000000000001E-3</v>
      </c>
    </row>
    <row r="32" spans="1:3" x14ac:dyDescent="0.35">
      <c r="A32" t="s">
        <v>37</v>
      </c>
      <c r="B32" s="1" t="s">
        <v>42</v>
      </c>
      <c r="C32" s="12">
        <f>1.5%</f>
        <v>1.4999999999999999E-2</v>
      </c>
    </row>
    <row r="33" spans="1:3" x14ac:dyDescent="0.35">
      <c r="A33" t="s">
        <v>37</v>
      </c>
      <c r="B33" s="1" t="s">
        <v>16</v>
      </c>
      <c r="C33" s="12">
        <v>1.4999999999999999E-2</v>
      </c>
    </row>
    <row r="34" spans="1:3" x14ac:dyDescent="0.35">
      <c r="A34" t="s">
        <v>46</v>
      </c>
      <c r="B34" s="1" t="s">
        <v>16</v>
      </c>
      <c r="C34" s="12">
        <v>1.4999999999999999E-2</v>
      </c>
    </row>
    <row r="35" spans="1:3" x14ac:dyDescent="0.35">
      <c r="A35" t="s">
        <v>37</v>
      </c>
      <c r="B35" s="1" t="s">
        <v>76</v>
      </c>
      <c r="C35" s="12">
        <v>1.4999999999999999E-2</v>
      </c>
    </row>
    <row r="36" spans="1:3" x14ac:dyDescent="0.35">
      <c r="A36" t="s">
        <v>37</v>
      </c>
      <c r="B36" s="1" t="s">
        <v>17</v>
      </c>
      <c r="C36" s="12">
        <v>2.0000000000000011E-2</v>
      </c>
    </row>
    <row r="37" spans="1:3" x14ac:dyDescent="0.35">
      <c r="A37" t="s">
        <v>45</v>
      </c>
      <c r="B37" s="1" t="s">
        <v>43</v>
      </c>
      <c r="C37" s="12">
        <v>4.3165203929834859E-3</v>
      </c>
    </row>
    <row r="38" spans="1:3" x14ac:dyDescent="0.35">
      <c r="A38" t="s">
        <v>37</v>
      </c>
      <c r="B38" s="1" t="s">
        <v>18</v>
      </c>
      <c r="C38" s="12">
        <f>1.85%</f>
        <v>1.8500000000000003E-2</v>
      </c>
    </row>
    <row r="39" spans="1:3" x14ac:dyDescent="0.35">
      <c r="A39" t="s">
        <v>37</v>
      </c>
      <c r="B39" s="1" t="s">
        <v>19</v>
      </c>
      <c r="C39" s="12">
        <v>1.499999999999998E-2</v>
      </c>
    </row>
    <row r="40" spans="1:3" x14ac:dyDescent="0.35">
      <c r="A40" t="s">
        <v>37</v>
      </c>
      <c r="B40" s="1" t="s">
        <v>20</v>
      </c>
      <c r="C40" s="12">
        <v>1.4999999999999999E-2</v>
      </c>
    </row>
    <row r="41" spans="1:3" x14ac:dyDescent="0.35">
      <c r="A41" t="s">
        <v>37</v>
      </c>
      <c r="B41" s="1" t="s">
        <v>21</v>
      </c>
      <c r="C41" s="12">
        <v>1.499999999999998E-2</v>
      </c>
    </row>
    <row r="42" spans="1:3" x14ac:dyDescent="0.35">
      <c r="A42" t="s">
        <v>45</v>
      </c>
      <c r="B42" s="1" t="s">
        <v>44</v>
      </c>
      <c r="C42" s="12">
        <v>9.0244562765093403E-4</v>
      </c>
    </row>
    <row r="43" spans="1:3" x14ac:dyDescent="0.35">
      <c r="A43" t="s">
        <v>37</v>
      </c>
      <c r="B43" s="1" t="s">
        <v>22</v>
      </c>
      <c r="C43" s="12">
        <v>9.0365061432001129E-3</v>
      </c>
    </row>
    <row r="44" spans="1:3" x14ac:dyDescent="0.35">
      <c r="A44" t="s">
        <v>37</v>
      </c>
      <c r="B44" s="1" t="s">
        <v>23</v>
      </c>
      <c r="C44" s="12">
        <v>0</v>
      </c>
    </row>
    <row r="45" spans="1:3" x14ac:dyDescent="0.35">
      <c r="A45" t="s">
        <v>45</v>
      </c>
      <c r="B45" s="1" t="s">
        <v>23</v>
      </c>
      <c r="C45" s="12">
        <v>0</v>
      </c>
    </row>
    <row r="46" spans="1:3" x14ac:dyDescent="0.35">
      <c r="A46" t="s">
        <v>37</v>
      </c>
      <c r="B46" s="1" t="s">
        <v>24</v>
      </c>
      <c r="C46" s="12">
        <v>1.4999999999999999E-2</v>
      </c>
    </row>
    <row r="47" spans="1:3" x14ac:dyDescent="0.35">
      <c r="A47" t="s">
        <v>45</v>
      </c>
      <c r="B47" s="1" t="s">
        <v>24</v>
      </c>
      <c r="C47" s="12">
        <v>5.0000000000000001E-3</v>
      </c>
    </row>
    <row r="48" spans="1:3" x14ac:dyDescent="0.35">
      <c r="A48" t="s">
        <v>37</v>
      </c>
      <c r="B48" s="1" t="s">
        <v>145</v>
      </c>
      <c r="C48" s="12">
        <f>0.5%</f>
        <v>5.0000000000000001E-3</v>
      </c>
    </row>
    <row r="49" spans="1:3" x14ac:dyDescent="0.35">
      <c r="A49" t="s">
        <v>37</v>
      </c>
      <c r="B49" s="1" t="s">
        <v>25</v>
      </c>
      <c r="C49" s="12">
        <v>1.5000000000000048E-2</v>
      </c>
    </row>
    <row r="50" spans="1:3" x14ac:dyDescent="0.35">
      <c r="A50" t="s">
        <v>37</v>
      </c>
      <c r="B50" s="1" t="s">
        <v>26</v>
      </c>
      <c r="C50" s="12">
        <v>1.3000000000000001E-2</v>
      </c>
    </row>
    <row r="51" spans="1:3" x14ac:dyDescent="0.35">
      <c r="A51" t="s">
        <v>37</v>
      </c>
      <c r="B51" s="1" t="s">
        <v>27</v>
      </c>
      <c r="C51" s="12">
        <v>1.5000000000000001E-2</v>
      </c>
    </row>
    <row r="52" spans="1:3" x14ac:dyDescent="0.35">
      <c r="A52" t="s">
        <v>45</v>
      </c>
      <c r="B52" s="1" t="s">
        <v>27</v>
      </c>
      <c r="C52" s="12">
        <v>9.9751243781094519E-3</v>
      </c>
    </row>
    <row r="53" spans="1:3" x14ac:dyDescent="0.35">
      <c r="A53" t="s">
        <v>37</v>
      </c>
      <c r="B53" s="1" t="s">
        <v>28</v>
      </c>
      <c r="C53" s="12">
        <v>4.4999999999999991E-2</v>
      </c>
    </row>
    <row r="54" spans="1:3" x14ac:dyDescent="0.35">
      <c r="A54" t="s">
        <v>37</v>
      </c>
      <c r="B54" s="1" t="s">
        <v>29</v>
      </c>
      <c r="C54" s="12">
        <v>1.4999999999999999E-2</v>
      </c>
    </row>
    <row r="55" spans="1:3" x14ac:dyDescent="0.35">
      <c r="A55" t="s">
        <v>45</v>
      </c>
      <c r="B55" s="1" t="s">
        <v>29</v>
      </c>
      <c r="C55" s="12">
        <v>5.0000000000000001E-3</v>
      </c>
    </row>
    <row r="56" spans="1:3" x14ac:dyDescent="0.35">
      <c r="A56" t="s">
        <v>37</v>
      </c>
      <c r="B56" s="1" t="s">
        <v>30</v>
      </c>
      <c r="C56" s="12">
        <v>1.999999999999999E-2</v>
      </c>
    </row>
    <row r="57" spans="1:3" x14ac:dyDescent="0.35">
      <c r="A57" t="s">
        <v>45</v>
      </c>
      <c r="B57" s="1" t="s">
        <v>30</v>
      </c>
      <c r="C57" s="12">
        <f>0.55%</f>
        <v>5.5000000000000005E-3</v>
      </c>
    </row>
    <row r="58" spans="1:3" x14ac:dyDescent="0.35">
      <c r="A58" t="s">
        <v>37</v>
      </c>
      <c r="B58" s="1" t="s">
        <v>31</v>
      </c>
      <c r="C58" s="12">
        <v>1.4999999999999999E-2</v>
      </c>
    </row>
    <row r="59" spans="1:3" x14ac:dyDescent="0.35">
      <c r="A59" t="s">
        <v>37</v>
      </c>
      <c r="B59" s="1" t="s">
        <v>32</v>
      </c>
      <c r="C59" s="12">
        <v>1.4999999999999999E-2</v>
      </c>
    </row>
    <row r="60" spans="1:3" x14ac:dyDescent="0.35">
      <c r="A60" t="s">
        <v>37</v>
      </c>
      <c r="B60" s="1" t="s">
        <v>33</v>
      </c>
      <c r="C60" s="12">
        <f>1.5%</f>
        <v>1.4999999999999999E-2</v>
      </c>
    </row>
    <row r="61" spans="1:3" x14ac:dyDescent="0.35">
      <c r="A61" t="s">
        <v>37</v>
      </c>
      <c r="B61" s="1" t="s">
        <v>34</v>
      </c>
      <c r="C61" s="12">
        <v>1.7500000000000002E-2</v>
      </c>
    </row>
    <row r="62" spans="1:3" x14ac:dyDescent="0.35">
      <c r="A62" t="s">
        <v>45</v>
      </c>
      <c r="B62" s="1" t="s">
        <v>34</v>
      </c>
      <c r="C62" s="12">
        <v>2.9999999999999992E-3</v>
      </c>
    </row>
    <row r="63" spans="1:3" x14ac:dyDescent="0.35">
      <c r="A63" t="s">
        <v>37</v>
      </c>
      <c r="B63" s="1" t="s">
        <v>35</v>
      </c>
      <c r="C63" s="12">
        <v>0.02</v>
      </c>
    </row>
    <row r="64" spans="1:3" x14ac:dyDescent="0.35">
      <c r="A64" t="s">
        <v>37</v>
      </c>
      <c r="B64" s="1" t="s">
        <v>109</v>
      </c>
      <c r="C64" s="12">
        <f>1.75%</f>
        <v>1.7500000000000002E-2</v>
      </c>
    </row>
    <row r="65" spans="1:3" x14ac:dyDescent="0.35">
      <c r="A65" t="s">
        <v>37</v>
      </c>
      <c r="B65" s="1" t="s">
        <v>36</v>
      </c>
      <c r="C65" s="12">
        <v>1.8499999999999978E-2</v>
      </c>
    </row>
    <row r="66" spans="1:3" x14ac:dyDescent="0.35">
      <c r="A66" t="s">
        <v>45</v>
      </c>
      <c r="B66" s="1" t="s">
        <v>36</v>
      </c>
      <c r="C66" s="12">
        <v>0</v>
      </c>
    </row>
    <row r="67" spans="1:3" x14ac:dyDescent="0.35">
      <c r="A67" t="s">
        <v>45</v>
      </c>
      <c r="B67" s="1" t="s">
        <v>31</v>
      </c>
      <c r="C67" s="12">
        <f>0.5%</f>
        <v>5.0000000000000001E-3</v>
      </c>
    </row>
    <row r="68" spans="1:3" x14ac:dyDescent="0.35">
      <c r="A68" t="s">
        <v>37</v>
      </c>
      <c r="B68" s="1" t="s">
        <v>109</v>
      </c>
      <c r="C68" s="12">
        <f>0.05%</f>
        <v>5.0000000000000001E-4</v>
      </c>
    </row>
  </sheetData>
  <autoFilter ref="A1:C56" xr:uid="{00000000-0001-0000-0000-000000000000}">
    <sortState xmlns:xlrd2="http://schemas.microsoft.com/office/spreadsheetml/2017/richdata2" ref="A2:C66">
      <sortCondition ref="B1:B5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A6B2-9D01-4B24-AA77-47F03E8B424F}">
  <dimension ref="A1:R133"/>
  <sheetViews>
    <sheetView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9" sqref="A9:B10"/>
    </sheetView>
  </sheetViews>
  <sheetFormatPr defaultRowHeight="14.5" x14ac:dyDescent="0.35"/>
  <cols>
    <col min="1" max="1" width="12.453125" bestFit="1" customWidth="1"/>
    <col min="2" max="2" width="41.54296875" bestFit="1" customWidth="1"/>
    <col min="3" max="3" width="13.6328125" customWidth="1"/>
    <col min="4" max="4" width="8.7265625" style="7" bestFit="1" customWidth="1"/>
    <col min="5" max="5" width="14.08984375" style="8" customWidth="1"/>
    <col min="6" max="6" width="10.90625" style="8" bestFit="1" customWidth="1"/>
    <col min="7" max="7" width="13.90625" customWidth="1"/>
    <col min="8" max="8" width="15.90625" customWidth="1"/>
    <col min="9" max="9" width="13.26953125" bestFit="1" customWidth="1"/>
    <col min="10" max="10" width="16.08984375" bestFit="1" customWidth="1"/>
    <col min="11" max="11" width="17.08984375" style="7" bestFit="1" customWidth="1"/>
    <col min="12" max="12" width="17.08984375" style="7" customWidth="1"/>
    <col min="13" max="13" width="14.7265625" bestFit="1" customWidth="1"/>
    <col min="14" max="14" width="8.453125" style="7" bestFit="1" customWidth="1"/>
    <col min="15" max="15" width="11.90625" customWidth="1"/>
    <col min="16" max="17" width="10.453125" bestFit="1" customWidth="1"/>
    <col min="18" max="18" width="11.26953125" bestFit="1" customWidth="1"/>
  </cols>
  <sheetData>
    <row r="1" spans="1:18" s="9" customFormat="1" x14ac:dyDescent="0.35">
      <c r="A1" s="9" t="s">
        <v>120</v>
      </c>
      <c r="B1" s="9" t="s">
        <v>121</v>
      </c>
      <c r="C1" s="9" t="s">
        <v>133</v>
      </c>
      <c r="D1" s="10" t="s">
        <v>122</v>
      </c>
      <c r="E1" s="11" t="s">
        <v>138</v>
      </c>
      <c r="F1" s="11" t="s">
        <v>136</v>
      </c>
      <c r="G1" s="9" t="s">
        <v>139</v>
      </c>
      <c r="H1" s="9" t="s">
        <v>140</v>
      </c>
      <c r="I1" s="9" t="s">
        <v>141</v>
      </c>
      <c r="J1" s="9" t="s">
        <v>131</v>
      </c>
      <c r="K1" s="10" t="s">
        <v>132</v>
      </c>
      <c r="L1" s="10" t="s">
        <v>142</v>
      </c>
      <c r="M1" s="9" t="s">
        <v>123</v>
      </c>
      <c r="N1" s="10" t="s">
        <v>130</v>
      </c>
      <c r="O1" s="9" t="s">
        <v>137</v>
      </c>
      <c r="P1" s="9" t="s">
        <v>124</v>
      </c>
      <c r="Q1" s="9" t="s">
        <v>125</v>
      </c>
      <c r="R1" s="9" t="s">
        <v>126</v>
      </c>
    </row>
    <row r="2" spans="1:18" x14ac:dyDescent="0.35">
      <c r="A2" t="s">
        <v>37</v>
      </c>
      <c r="B2" t="s">
        <v>95</v>
      </c>
      <c r="D2" s="7">
        <v>0.02</v>
      </c>
      <c r="N2" s="7">
        <v>4.4999999999999998E-2</v>
      </c>
      <c r="O2" s="6"/>
      <c r="P2" s="5">
        <v>45912</v>
      </c>
      <c r="Q2" s="5">
        <v>46642</v>
      </c>
      <c r="R2" t="s">
        <v>128</v>
      </c>
    </row>
    <row r="3" spans="1:18" x14ac:dyDescent="0.35">
      <c r="A3" t="s">
        <v>45</v>
      </c>
      <c r="B3" t="s">
        <v>38</v>
      </c>
      <c r="R3" t="s">
        <v>127</v>
      </c>
    </row>
    <row r="4" spans="1:18" x14ac:dyDescent="0.35">
      <c r="A4" t="s">
        <v>37</v>
      </c>
      <c r="B4" t="s">
        <v>3</v>
      </c>
      <c r="C4" t="s">
        <v>134</v>
      </c>
      <c r="D4" s="7">
        <v>0.05</v>
      </c>
      <c r="P4" s="5">
        <v>45866</v>
      </c>
      <c r="Q4" s="5">
        <v>46596</v>
      </c>
      <c r="R4" t="s">
        <v>128</v>
      </c>
    </row>
    <row r="5" spans="1:18" x14ac:dyDescent="0.35">
      <c r="A5" t="s">
        <v>37</v>
      </c>
      <c r="B5" t="s">
        <v>88</v>
      </c>
      <c r="P5" s="5">
        <v>45866</v>
      </c>
      <c r="Q5" s="5">
        <v>46596</v>
      </c>
      <c r="R5" t="s">
        <v>128</v>
      </c>
    </row>
    <row r="6" spans="1:18" x14ac:dyDescent="0.35">
      <c r="A6" t="s">
        <v>46</v>
      </c>
      <c r="B6" t="s">
        <v>39</v>
      </c>
      <c r="C6" t="s">
        <v>134</v>
      </c>
      <c r="D6" s="7">
        <v>-0.02</v>
      </c>
      <c r="O6" s="6"/>
      <c r="P6" s="5">
        <v>45001</v>
      </c>
      <c r="Q6" s="5">
        <v>45732</v>
      </c>
      <c r="R6" t="s">
        <v>128</v>
      </c>
    </row>
    <row r="7" spans="1:18" x14ac:dyDescent="0.35">
      <c r="A7" t="s">
        <v>45</v>
      </c>
      <c r="B7" t="s">
        <v>39</v>
      </c>
      <c r="R7" t="s">
        <v>129</v>
      </c>
    </row>
    <row r="8" spans="1:18" x14ac:dyDescent="0.35">
      <c r="A8" t="s">
        <v>37</v>
      </c>
      <c r="B8" t="s">
        <v>4</v>
      </c>
      <c r="D8" s="7">
        <v>1.4999999999999999E-2</v>
      </c>
      <c r="N8" s="7">
        <v>2.5000000000000001E-2</v>
      </c>
      <c r="O8" s="6"/>
      <c r="P8" s="5">
        <v>45001</v>
      </c>
      <c r="Q8" s="5">
        <v>45732</v>
      </c>
      <c r="R8" t="s">
        <v>128</v>
      </c>
    </row>
    <row r="9" spans="1:18" x14ac:dyDescent="0.35">
      <c r="A9" t="s">
        <v>37</v>
      </c>
      <c r="B9" t="s">
        <v>89</v>
      </c>
      <c r="C9" t="s">
        <v>135</v>
      </c>
      <c r="G9">
        <v>1</v>
      </c>
      <c r="H9">
        <v>1.5</v>
      </c>
      <c r="J9" s="6">
        <f>1.5%</f>
        <v>1.4999999999999999E-2</v>
      </c>
      <c r="K9" s="7">
        <f>1.5%</f>
        <v>1.4999999999999999E-2</v>
      </c>
      <c r="M9">
        <v>30</v>
      </c>
      <c r="N9" s="7">
        <v>4.4999999999999998E-2</v>
      </c>
      <c r="O9" s="6"/>
      <c r="P9" s="5">
        <v>45993</v>
      </c>
      <c r="Q9" s="5">
        <v>46724</v>
      </c>
      <c r="R9" t="s">
        <v>128</v>
      </c>
    </row>
    <row r="10" spans="1:18" x14ac:dyDescent="0.35">
      <c r="A10" t="s">
        <v>45</v>
      </c>
      <c r="B10" t="s">
        <v>89</v>
      </c>
      <c r="C10" t="s">
        <v>135</v>
      </c>
      <c r="G10">
        <v>1</v>
      </c>
      <c r="H10">
        <v>1</v>
      </c>
      <c r="J10" s="6">
        <v>0.01</v>
      </c>
      <c r="K10" s="7">
        <v>0.01</v>
      </c>
      <c r="M10">
        <v>20</v>
      </c>
      <c r="O10" s="6"/>
      <c r="P10" s="5">
        <v>45993</v>
      </c>
      <c r="Q10" s="5">
        <v>46724</v>
      </c>
      <c r="R10" t="s">
        <v>128</v>
      </c>
    </row>
    <row r="11" spans="1:18" x14ac:dyDescent="0.35">
      <c r="A11" t="s">
        <v>46</v>
      </c>
      <c r="B11" t="s">
        <v>89</v>
      </c>
      <c r="C11" t="s">
        <v>135</v>
      </c>
      <c r="D11" s="7">
        <v>0.01</v>
      </c>
      <c r="P11" s="5">
        <v>45993</v>
      </c>
      <c r="Q11" s="5">
        <v>46724</v>
      </c>
      <c r="R11" t="s">
        <v>128</v>
      </c>
    </row>
    <row r="12" spans="1:18" x14ac:dyDescent="0.35">
      <c r="A12" t="s">
        <v>45</v>
      </c>
      <c r="B12" t="s">
        <v>105</v>
      </c>
      <c r="C12" t="s">
        <v>134</v>
      </c>
      <c r="F12" s="8">
        <v>1</v>
      </c>
      <c r="P12" s="5">
        <v>43550</v>
      </c>
      <c r="Q12" s="5">
        <v>44646</v>
      </c>
      <c r="R12" t="s">
        <v>128</v>
      </c>
    </row>
    <row r="13" spans="1:18" x14ac:dyDescent="0.35">
      <c r="A13" t="s">
        <v>45</v>
      </c>
      <c r="B13" t="s">
        <v>66</v>
      </c>
      <c r="C13" t="s">
        <v>134</v>
      </c>
      <c r="D13" s="7">
        <f>0.5%</f>
        <v>5.0000000000000001E-3</v>
      </c>
      <c r="O13">
        <v>3</v>
      </c>
      <c r="P13" s="5">
        <v>45127</v>
      </c>
      <c r="Q13" s="5">
        <v>45858</v>
      </c>
      <c r="R13" t="s">
        <v>128</v>
      </c>
    </row>
    <row r="14" spans="1:18" x14ac:dyDescent="0.35">
      <c r="A14" t="s">
        <v>46</v>
      </c>
      <c r="B14" t="s">
        <v>66</v>
      </c>
      <c r="C14" t="s">
        <v>134</v>
      </c>
      <c r="P14" s="5">
        <v>45127</v>
      </c>
      <c r="Q14" s="5">
        <v>45858</v>
      </c>
      <c r="R14" t="s">
        <v>128</v>
      </c>
    </row>
    <row r="15" spans="1:18" x14ac:dyDescent="0.35">
      <c r="A15" t="s">
        <v>37</v>
      </c>
      <c r="B15" t="s">
        <v>5</v>
      </c>
      <c r="C15" t="s">
        <v>134</v>
      </c>
      <c r="D15" s="7">
        <v>1.4999999999999999E-2</v>
      </c>
      <c r="N15" s="7">
        <v>2.5000000000000001E-2</v>
      </c>
      <c r="P15" s="5">
        <v>45800</v>
      </c>
      <c r="Q15" s="5">
        <v>46530</v>
      </c>
      <c r="R15" t="s">
        <v>128</v>
      </c>
    </row>
    <row r="16" spans="1:18" x14ac:dyDescent="0.35">
      <c r="A16" t="s">
        <v>37</v>
      </c>
      <c r="B16" t="s">
        <v>111</v>
      </c>
      <c r="C16" t="s">
        <v>134</v>
      </c>
      <c r="D16" s="7">
        <v>1.4999999999999999E-2</v>
      </c>
      <c r="N16" s="7">
        <v>2.5000000000000001E-2</v>
      </c>
      <c r="P16" s="5">
        <v>45330</v>
      </c>
      <c r="Q16" s="5">
        <v>46061</v>
      </c>
      <c r="R16" t="s">
        <v>128</v>
      </c>
    </row>
    <row r="17" spans="1:18" x14ac:dyDescent="0.35">
      <c r="A17" t="s">
        <v>45</v>
      </c>
      <c r="B17" t="s">
        <v>70</v>
      </c>
      <c r="R17" t="s">
        <v>127</v>
      </c>
    </row>
    <row r="18" spans="1:18" x14ac:dyDescent="0.35">
      <c r="A18" t="s">
        <v>37</v>
      </c>
      <c r="B18" t="s">
        <v>70</v>
      </c>
      <c r="R18" t="s">
        <v>127</v>
      </c>
    </row>
    <row r="19" spans="1:18" x14ac:dyDescent="0.35">
      <c r="A19" t="s">
        <v>37</v>
      </c>
      <c r="B19" t="s">
        <v>112</v>
      </c>
      <c r="R19" t="s">
        <v>127</v>
      </c>
    </row>
    <row r="20" spans="1:18" x14ac:dyDescent="0.35">
      <c r="A20" t="s">
        <v>37</v>
      </c>
      <c r="B20" t="s">
        <v>71</v>
      </c>
      <c r="C20" t="s">
        <v>134</v>
      </c>
      <c r="D20" s="7">
        <v>1.4999999999999999E-2</v>
      </c>
      <c r="P20" s="5">
        <v>45127</v>
      </c>
      <c r="Q20" s="5">
        <v>45858</v>
      </c>
      <c r="R20" t="s">
        <v>128</v>
      </c>
    </row>
    <row r="21" spans="1:18" x14ac:dyDescent="0.35">
      <c r="A21" t="s">
        <v>45</v>
      </c>
      <c r="B21" t="s">
        <v>71</v>
      </c>
      <c r="C21" t="s">
        <v>134</v>
      </c>
      <c r="D21" s="7">
        <v>5.0000000000000001E-3</v>
      </c>
      <c r="E21" s="8">
        <v>2</v>
      </c>
      <c r="N21" s="7">
        <v>2.5000000000000001E-2</v>
      </c>
      <c r="P21" s="5">
        <v>45127</v>
      </c>
      <c r="Q21" s="5">
        <v>45858</v>
      </c>
      <c r="R21" t="s">
        <v>128</v>
      </c>
    </row>
    <row r="22" spans="1:18" x14ac:dyDescent="0.35">
      <c r="A22" t="s">
        <v>37</v>
      </c>
      <c r="B22" t="s">
        <v>6</v>
      </c>
      <c r="R22" t="s">
        <v>127</v>
      </c>
    </row>
    <row r="23" spans="1:18" x14ac:dyDescent="0.35">
      <c r="A23" t="s">
        <v>37</v>
      </c>
      <c r="B23" t="s">
        <v>113</v>
      </c>
      <c r="R23" t="s">
        <v>127</v>
      </c>
    </row>
    <row r="24" spans="1:18" x14ac:dyDescent="0.35">
      <c r="A24" t="s">
        <v>37</v>
      </c>
      <c r="B24" t="s">
        <v>72</v>
      </c>
      <c r="R24" t="s">
        <v>127</v>
      </c>
    </row>
    <row r="25" spans="1:18" x14ac:dyDescent="0.35">
      <c r="A25" t="s">
        <v>37</v>
      </c>
      <c r="B25" t="s">
        <v>67</v>
      </c>
      <c r="C25" t="s">
        <v>135</v>
      </c>
      <c r="G25">
        <v>1</v>
      </c>
      <c r="H25">
        <v>1.5</v>
      </c>
      <c r="K25" s="7">
        <v>1.4999999999999999E-2</v>
      </c>
      <c r="M25">
        <v>30</v>
      </c>
      <c r="P25" s="5">
        <v>45994</v>
      </c>
      <c r="Q25" s="5">
        <v>46724</v>
      </c>
      <c r="R25" t="s">
        <v>128</v>
      </c>
    </row>
    <row r="26" spans="1:18" x14ac:dyDescent="0.35">
      <c r="A26" t="s">
        <v>37</v>
      </c>
      <c r="B26" t="s">
        <v>7</v>
      </c>
      <c r="C26" t="s">
        <v>134</v>
      </c>
      <c r="D26" s="7">
        <v>1.4999999999999999E-2</v>
      </c>
      <c r="N26" s="7">
        <v>2.5000000000000001E-2</v>
      </c>
      <c r="P26" s="5">
        <v>45127</v>
      </c>
      <c r="Q26" s="5">
        <v>45858</v>
      </c>
      <c r="R26" t="s">
        <v>128</v>
      </c>
    </row>
    <row r="27" spans="1:18" x14ac:dyDescent="0.35">
      <c r="A27" t="s">
        <v>45</v>
      </c>
      <c r="B27" t="s">
        <v>90</v>
      </c>
      <c r="C27" t="s">
        <v>134</v>
      </c>
      <c r="D27" s="7">
        <v>1.4999999999999999E-2</v>
      </c>
      <c r="O27">
        <v>3</v>
      </c>
      <c r="P27" s="5">
        <v>45778</v>
      </c>
      <c r="Q27" s="5">
        <v>46507</v>
      </c>
      <c r="R27" t="s">
        <v>128</v>
      </c>
    </row>
    <row r="28" spans="1:18" x14ac:dyDescent="0.35">
      <c r="A28" t="s">
        <v>37</v>
      </c>
      <c r="B28" t="s">
        <v>114</v>
      </c>
      <c r="C28" t="s">
        <v>134</v>
      </c>
      <c r="D28" s="7">
        <v>0.02</v>
      </c>
      <c r="P28" s="5">
        <v>44042</v>
      </c>
      <c r="Q28" s="5">
        <v>45503</v>
      </c>
      <c r="R28" t="s">
        <v>128</v>
      </c>
    </row>
    <row r="29" spans="1:18" x14ac:dyDescent="0.35">
      <c r="A29" t="s">
        <v>45</v>
      </c>
      <c r="B29" t="s">
        <v>40</v>
      </c>
      <c r="C29" t="s">
        <v>134</v>
      </c>
      <c r="D29" s="7">
        <v>1.4999999999999999E-2</v>
      </c>
      <c r="P29" s="5">
        <v>44312</v>
      </c>
      <c r="Q29" s="5">
        <v>46503</v>
      </c>
      <c r="R29" t="s">
        <v>128</v>
      </c>
    </row>
    <row r="30" spans="1:18" x14ac:dyDescent="0.35">
      <c r="A30" t="s">
        <v>45</v>
      </c>
      <c r="B30" t="s">
        <v>41</v>
      </c>
      <c r="C30" t="s">
        <v>134</v>
      </c>
      <c r="D30" s="7">
        <v>1.4999999999999999E-2</v>
      </c>
      <c r="P30" s="5">
        <v>44312</v>
      </c>
      <c r="Q30" s="5">
        <v>46503</v>
      </c>
      <c r="R30" t="s">
        <v>128</v>
      </c>
    </row>
    <row r="31" spans="1:18" x14ac:dyDescent="0.35">
      <c r="A31" t="s">
        <v>37</v>
      </c>
      <c r="B31" t="s">
        <v>68</v>
      </c>
      <c r="C31" t="s">
        <v>134</v>
      </c>
      <c r="D31" s="7">
        <v>1.4999999999999999E-2</v>
      </c>
      <c r="N31" s="7">
        <v>2.5000000000000001E-2</v>
      </c>
      <c r="P31" s="5">
        <v>44970</v>
      </c>
      <c r="Q31" s="5">
        <v>45701</v>
      </c>
      <c r="R31" t="s">
        <v>128</v>
      </c>
    </row>
    <row r="32" spans="1:18" x14ac:dyDescent="0.35">
      <c r="A32" t="s">
        <v>37</v>
      </c>
      <c r="B32" t="s">
        <v>8</v>
      </c>
      <c r="C32" t="s">
        <v>134</v>
      </c>
      <c r="D32" s="7">
        <v>1.4999999999999999E-2</v>
      </c>
      <c r="N32" s="7">
        <v>2.5000000000000001E-2</v>
      </c>
      <c r="P32" s="5">
        <v>45127</v>
      </c>
      <c r="Q32" s="5">
        <v>45858</v>
      </c>
      <c r="R32" t="s">
        <v>128</v>
      </c>
    </row>
    <row r="33" spans="1:18" x14ac:dyDescent="0.35">
      <c r="A33" t="s">
        <v>37</v>
      </c>
      <c r="B33" t="s">
        <v>69</v>
      </c>
      <c r="C33" t="s">
        <v>134</v>
      </c>
      <c r="D33" s="7">
        <v>1.4999999999999999E-2</v>
      </c>
      <c r="E33" s="8">
        <v>25</v>
      </c>
      <c r="O33">
        <v>3</v>
      </c>
      <c r="P33" s="5">
        <v>45493</v>
      </c>
      <c r="Q33" s="5">
        <v>46223</v>
      </c>
      <c r="R33" t="s">
        <v>128</v>
      </c>
    </row>
    <row r="34" spans="1:18" x14ac:dyDescent="0.35">
      <c r="A34" t="s">
        <v>45</v>
      </c>
      <c r="B34" t="s">
        <v>9</v>
      </c>
      <c r="C34" t="s">
        <v>134</v>
      </c>
      <c r="F34" s="8">
        <v>1</v>
      </c>
      <c r="P34" s="5">
        <v>45493</v>
      </c>
      <c r="Q34" s="5">
        <v>46223</v>
      </c>
      <c r="R34" t="s">
        <v>128</v>
      </c>
    </row>
    <row r="35" spans="1:18" x14ac:dyDescent="0.35">
      <c r="A35" t="s">
        <v>46</v>
      </c>
      <c r="B35" t="s">
        <v>9</v>
      </c>
      <c r="C35" t="s">
        <v>134</v>
      </c>
      <c r="D35" s="7">
        <v>0.03</v>
      </c>
      <c r="P35" s="5">
        <v>45493</v>
      </c>
      <c r="Q35" s="5">
        <v>46223</v>
      </c>
      <c r="R35" t="s">
        <v>128</v>
      </c>
    </row>
    <row r="36" spans="1:18" x14ac:dyDescent="0.35">
      <c r="A36" t="s">
        <v>37</v>
      </c>
      <c r="B36" t="s">
        <v>9</v>
      </c>
      <c r="C36" t="s">
        <v>134</v>
      </c>
      <c r="D36" s="7">
        <v>0.01</v>
      </c>
      <c r="P36" s="5">
        <v>45493</v>
      </c>
      <c r="Q36" s="5">
        <v>46223</v>
      </c>
      <c r="R36" t="s">
        <v>128</v>
      </c>
    </row>
    <row r="37" spans="1:18" x14ac:dyDescent="0.35">
      <c r="A37" t="s">
        <v>45</v>
      </c>
      <c r="B37" t="s">
        <v>10</v>
      </c>
      <c r="C37" t="s">
        <v>134</v>
      </c>
      <c r="D37" s="7">
        <v>5.0000000000000001E-3</v>
      </c>
      <c r="E37" s="8">
        <v>10</v>
      </c>
      <c r="P37" s="5">
        <v>46057</v>
      </c>
      <c r="Q37" s="5">
        <v>46787</v>
      </c>
      <c r="R37" t="s">
        <v>128</v>
      </c>
    </row>
    <row r="38" spans="1:18" x14ac:dyDescent="0.35">
      <c r="A38" t="s">
        <v>37</v>
      </c>
      <c r="B38" t="s">
        <v>10</v>
      </c>
      <c r="C38" t="s">
        <v>134</v>
      </c>
      <c r="D38" s="7">
        <v>1.7999999999999999E-2</v>
      </c>
      <c r="P38" s="5">
        <v>46057</v>
      </c>
      <c r="Q38" s="5">
        <v>46787</v>
      </c>
      <c r="R38" t="s">
        <v>128</v>
      </c>
    </row>
    <row r="39" spans="1:18" x14ac:dyDescent="0.35">
      <c r="A39" t="s">
        <v>45</v>
      </c>
      <c r="B39" t="s">
        <v>73</v>
      </c>
      <c r="C39" t="s">
        <v>134</v>
      </c>
      <c r="D39" s="7">
        <v>0</v>
      </c>
      <c r="P39" s="5">
        <v>45858</v>
      </c>
      <c r="Q39" s="5">
        <v>46588</v>
      </c>
      <c r="R39" t="s">
        <v>128</v>
      </c>
    </row>
    <row r="40" spans="1:18" x14ac:dyDescent="0.35">
      <c r="A40" t="s">
        <v>37</v>
      </c>
      <c r="B40" t="s">
        <v>73</v>
      </c>
      <c r="C40" t="s">
        <v>134</v>
      </c>
      <c r="D40" s="7">
        <v>1.95E-2</v>
      </c>
      <c r="P40" s="5">
        <v>45858</v>
      </c>
      <c r="Q40" s="5">
        <v>46588</v>
      </c>
      <c r="R40" t="s">
        <v>128</v>
      </c>
    </row>
    <row r="41" spans="1:18" x14ac:dyDescent="0.35">
      <c r="A41" t="s">
        <v>37</v>
      </c>
      <c r="B41" t="s">
        <v>115</v>
      </c>
      <c r="C41" t="s">
        <v>134</v>
      </c>
      <c r="D41" s="7">
        <v>0</v>
      </c>
      <c r="P41" s="5">
        <v>44885</v>
      </c>
      <c r="Q41" s="5">
        <v>45626</v>
      </c>
      <c r="R41" t="s">
        <v>128</v>
      </c>
    </row>
    <row r="42" spans="1:18" x14ac:dyDescent="0.35">
      <c r="A42" t="s">
        <v>45</v>
      </c>
      <c r="B42" t="s">
        <v>74</v>
      </c>
      <c r="C42" t="s">
        <v>135</v>
      </c>
      <c r="G42">
        <v>0.5</v>
      </c>
      <c r="H42">
        <v>1</v>
      </c>
      <c r="I42">
        <v>3</v>
      </c>
      <c r="L42" s="7">
        <v>0.05</v>
      </c>
      <c r="M42">
        <v>10</v>
      </c>
      <c r="P42" s="5">
        <v>45897</v>
      </c>
      <c r="Q42" s="5">
        <v>46627</v>
      </c>
      <c r="R42" t="s">
        <v>128</v>
      </c>
    </row>
    <row r="43" spans="1:18" x14ac:dyDescent="0.35">
      <c r="A43" t="s">
        <v>37</v>
      </c>
      <c r="B43" t="s">
        <v>91</v>
      </c>
      <c r="R43" t="s">
        <v>127</v>
      </c>
    </row>
    <row r="44" spans="1:18" x14ac:dyDescent="0.35">
      <c r="A44" t="s">
        <v>45</v>
      </c>
      <c r="B44" t="s">
        <v>91</v>
      </c>
      <c r="R44" t="s">
        <v>127</v>
      </c>
    </row>
    <row r="45" spans="1:18" x14ac:dyDescent="0.35">
      <c r="A45" t="s">
        <v>37</v>
      </c>
      <c r="B45" t="s">
        <v>116</v>
      </c>
      <c r="C45" t="s">
        <v>135</v>
      </c>
      <c r="G45">
        <v>1</v>
      </c>
      <c r="H45">
        <v>1</v>
      </c>
      <c r="K45" s="7">
        <v>1.4999999999999999E-2</v>
      </c>
      <c r="M45">
        <v>30</v>
      </c>
      <c r="P45" s="5">
        <v>45971</v>
      </c>
      <c r="Q45" s="5">
        <v>46701</v>
      </c>
      <c r="R45" t="s">
        <v>128</v>
      </c>
    </row>
    <row r="46" spans="1:18" x14ac:dyDescent="0.35">
      <c r="A46" t="s">
        <v>37</v>
      </c>
      <c r="B46" t="s">
        <v>11</v>
      </c>
      <c r="C46" t="s">
        <v>134</v>
      </c>
      <c r="D46" s="7">
        <v>1.4999999999999999E-2</v>
      </c>
      <c r="P46" s="5">
        <v>44835</v>
      </c>
      <c r="Q46" s="5">
        <v>45566</v>
      </c>
      <c r="R46" t="s">
        <v>128</v>
      </c>
    </row>
    <row r="47" spans="1:18" x14ac:dyDescent="0.35">
      <c r="A47" t="s">
        <v>45</v>
      </c>
      <c r="B47" t="s">
        <v>11</v>
      </c>
      <c r="C47" t="s">
        <v>134</v>
      </c>
      <c r="D47" s="7">
        <v>5.0000000000000001E-3</v>
      </c>
      <c r="P47" s="5">
        <v>44835</v>
      </c>
      <c r="Q47" s="5">
        <v>45566</v>
      </c>
      <c r="R47" t="s">
        <v>128</v>
      </c>
    </row>
    <row r="48" spans="1:18" x14ac:dyDescent="0.35">
      <c r="A48" t="s">
        <v>37</v>
      </c>
      <c r="B48" t="s">
        <v>12</v>
      </c>
      <c r="C48" t="s">
        <v>134</v>
      </c>
      <c r="D48" s="7">
        <v>1.2E-2</v>
      </c>
      <c r="N48" s="7">
        <v>2.1999999999999999E-2</v>
      </c>
      <c r="P48" s="5">
        <v>45537</v>
      </c>
      <c r="Q48" s="5">
        <v>46267</v>
      </c>
      <c r="R48" t="s">
        <v>128</v>
      </c>
    </row>
    <row r="49" spans="1:18" x14ac:dyDescent="0.35">
      <c r="A49" t="s">
        <v>45</v>
      </c>
      <c r="B49" t="s">
        <v>12</v>
      </c>
      <c r="P49" s="5">
        <v>45537</v>
      </c>
      <c r="Q49" s="5">
        <v>46267</v>
      </c>
      <c r="R49" t="s">
        <v>129</v>
      </c>
    </row>
    <row r="50" spans="1:18" x14ac:dyDescent="0.35">
      <c r="A50" t="s">
        <v>37</v>
      </c>
      <c r="B50" t="s">
        <v>13</v>
      </c>
      <c r="R50" t="s">
        <v>127</v>
      </c>
    </row>
    <row r="51" spans="1:18" x14ac:dyDescent="0.35">
      <c r="A51" t="s">
        <v>37</v>
      </c>
      <c r="B51" t="s">
        <v>14</v>
      </c>
    </row>
    <row r="52" spans="1:18" x14ac:dyDescent="0.35">
      <c r="A52" t="s">
        <v>45</v>
      </c>
      <c r="B52" t="s">
        <v>14</v>
      </c>
    </row>
    <row r="53" spans="1:18" x14ac:dyDescent="0.35">
      <c r="A53" t="s">
        <v>37</v>
      </c>
      <c r="B53" t="s">
        <v>84</v>
      </c>
    </row>
    <row r="54" spans="1:18" x14ac:dyDescent="0.35">
      <c r="A54" t="s">
        <v>37</v>
      </c>
      <c r="B54" t="s">
        <v>75</v>
      </c>
    </row>
    <row r="55" spans="1:18" x14ac:dyDescent="0.35">
      <c r="A55" t="s">
        <v>45</v>
      </c>
      <c r="B55" t="s">
        <v>85</v>
      </c>
    </row>
    <row r="56" spans="1:18" x14ac:dyDescent="0.35">
      <c r="A56" t="s">
        <v>37</v>
      </c>
      <c r="B56" t="s">
        <v>85</v>
      </c>
    </row>
    <row r="57" spans="1:18" x14ac:dyDescent="0.35">
      <c r="A57" t="s">
        <v>37</v>
      </c>
      <c r="B57" t="s">
        <v>15</v>
      </c>
    </row>
    <row r="58" spans="1:18" x14ac:dyDescent="0.35">
      <c r="A58" t="s">
        <v>45</v>
      </c>
      <c r="B58" t="s">
        <v>42</v>
      </c>
    </row>
    <row r="59" spans="1:18" x14ac:dyDescent="0.35">
      <c r="A59" t="s">
        <v>37</v>
      </c>
      <c r="B59" t="s">
        <v>42</v>
      </c>
    </row>
    <row r="60" spans="1:18" x14ac:dyDescent="0.35">
      <c r="A60" t="s">
        <v>46</v>
      </c>
      <c r="B60" t="s">
        <v>16</v>
      </c>
    </row>
    <row r="61" spans="1:18" x14ac:dyDescent="0.35">
      <c r="A61" t="s">
        <v>37</v>
      </c>
      <c r="B61" t="s">
        <v>16</v>
      </c>
    </row>
    <row r="62" spans="1:18" x14ac:dyDescent="0.35">
      <c r="A62" t="s">
        <v>37</v>
      </c>
      <c r="B62" t="s">
        <v>76</v>
      </c>
    </row>
    <row r="63" spans="1:18" x14ac:dyDescent="0.35">
      <c r="A63" t="s">
        <v>37</v>
      </c>
      <c r="B63" t="s">
        <v>17</v>
      </c>
    </row>
    <row r="64" spans="1:18" x14ac:dyDescent="0.35">
      <c r="A64" t="s">
        <v>45</v>
      </c>
      <c r="B64" t="s">
        <v>117</v>
      </c>
    </row>
    <row r="65" spans="1:2" x14ac:dyDescent="0.35">
      <c r="A65" t="s">
        <v>37</v>
      </c>
      <c r="B65" t="s">
        <v>106</v>
      </c>
    </row>
    <row r="66" spans="1:2" x14ac:dyDescent="0.35">
      <c r="A66" t="s">
        <v>45</v>
      </c>
      <c r="B66" t="s">
        <v>43</v>
      </c>
    </row>
    <row r="67" spans="1:2" x14ac:dyDescent="0.35">
      <c r="A67" t="s">
        <v>37</v>
      </c>
      <c r="B67" t="s">
        <v>18</v>
      </c>
    </row>
    <row r="68" spans="1:2" x14ac:dyDescent="0.35">
      <c r="A68" t="s">
        <v>37</v>
      </c>
      <c r="B68" t="s">
        <v>19</v>
      </c>
    </row>
    <row r="69" spans="1:2" x14ac:dyDescent="0.35">
      <c r="A69" t="s">
        <v>37</v>
      </c>
      <c r="B69" t="s">
        <v>20</v>
      </c>
    </row>
    <row r="70" spans="1:2" x14ac:dyDescent="0.35">
      <c r="A70" t="s">
        <v>45</v>
      </c>
      <c r="B70" t="s">
        <v>20</v>
      </c>
    </row>
    <row r="71" spans="1:2" x14ac:dyDescent="0.35">
      <c r="A71" t="s">
        <v>45</v>
      </c>
      <c r="B71" t="s">
        <v>77</v>
      </c>
    </row>
    <row r="72" spans="1:2" x14ac:dyDescent="0.35">
      <c r="A72" t="s">
        <v>37</v>
      </c>
      <c r="B72" t="s">
        <v>77</v>
      </c>
    </row>
    <row r="73" spans="1:2" x14ac:dyDescent="0.35">
      <c r="A73" t="s">
        <v>37</v>
      </c>
      <c r="B73" t="s">
        <v>21</v>
      </c>
    </row>
    <row r="74" spans="1:2" x14ac:dyDescent="0.35">
      <c r="A74" t="s">
        <v>37</v>
      </c>
      <c r="B74" t="s">
        <v>92</v>
      </c>
    </row>
    <row r="75" spans="1:2" x14ac:dyDescent="0.35">
      <c r="A75" t="s">
        <v>83</v>
      </c>
      <c r="B75" t="s">
        <v>93</v>
      </c>
    </row>
    <row r="76" spans="1:2" x14ac:dyDescent="0.35">
      <c r="A76" t="s">
        <v>46</v>
      </c>
      <c r="B76" t="s">
        <v>94</v>
      </c>
    </row>
    <row r="77" spans="1:2" x14ac:dyDescent="0.35">
      <c r="A77" t="s">
        <v>37</v>
      </c>
      <c r="B77" t="s">
        <v>98</v>
      </c>
    </row>
    <row r="78" spans="1:2" x14ac:dyDescent="0.35">
      <c r="A78" t="s">
        <v>37</v>
      </c>
      <c r="B78" t="s">
        <v>99</v>
      </c>
    </row>
    <row r="79" spans="1:2" x14ac:dyDescent="0.35">
      <c r="A79" t="s">
        <v>45</v>
      </c>
      <c r="B79" t="s">
        <v>44</v>
      </c>
    </row>
    <row r="80" spans="1:2" x14ac:dyDescent="0.35">
      <c r="A80" t="s">
        <v>37</v>
      </c>
      <c r="B80" t="s">
        <v>86</v>
      </c>
    </row>
    <row r="81" spans="1:2" x14ac:dyDescent="0.35">
      <c r="A81" t="s">
        <v>45</v>
      </c>
      <c r="B81" t="s">
        <v>107</v>
      </c>
    </row>
    <row r="82" spans="1:2" x14ac:dyDescent="0.35">
      <c r="A82" t="s">
        <v>37</v>
      </c>
      <c r="B82" t="s">
        <v>22</v>
      </c>
    </row>
    <row r="83" spans="1:2" x14ac:dyDescent="0.35">
      <c r="A83" t="s">
        <v>45</v>
      </c>
      <c r="B83" t="s">
        <v>22</v>
      </c>
    </row>
    <row r="84" spans="1:2" x14ac:dyDescent="0.35">
      <c r="A84" t="s">
        <v>37</v>
      </c>
      <c r="B84" t="s">
        <v>23</v>
      </c>
    </row>
    <row r="85" spans="1:2" x14ac:dyDescent="0.35">
      <c r="A85" t="s">
        <v>45</v>
      </c>
      <c r="B85" t="s">
        <v>23</v>
      </c>
    </row>
    <row r="86" spans="1:2" x14ac:dyDescent="0.35">
      <c r="A86" t="s">
        <v>37</v>
      </c>
      <c r="B86" t="s">
        <v>104</v>
      </c>
    </row>
    <row r="87" spans="1:2" x14ac:dyDescent="0.35">
      <c r="A87" t="s">
        <v>45</v>
      </c>
      <c r="B87" t="s">
        <v>24</v>
      </c>
    </row>
    <row r="88" spans="1:2" x14ac:dyDescent="0.35">
      <c r="A88" t="s">
        <v>37</v>
      </c>
      <c r="B88" t="s">
        <v>24</v>
      </c>
    </row>
    <row r="89" spans="1:2" x14ac:dyDescent="0.35">
      <c r="A89" t="s">
        <v>45</v>
      </c>
      <c r="B89" t="s">
        <v>25</v>
      </c>
    </row>
    <row r="90" spans="1:2" x14ac:dyDescent="0.35">
      <c r="A90" t="s">
        <v>37</v>
      </c>
      <c r="B90" t="s">
        <v>25</v>
      </c>
    </row>
    <row r="91" spans="1:2" x14ac:dyDescent="0.35">
      <c r="A91" t="s">
        <v>37</v>
      </c>
      <c r="B91" t="s">
        <v>26</v>
      </c>
    </row>
    <row r="92" spans="1:2" x14ac:dyDescent="0.35">
      <c r="A92" t="s">
        <v>45</v>
      </c>
      <c r="B92" t="s">
        <v>26</v>
      </c>
    </row>
    <row r="93" spans="1:2" x14ac:dyDescent="0.35">
      <c r="A93" t="s">
        <v>46</v>
      </c>
      <c r="B93" t="s">
        <v>26</v>
      </c>
    </row>
    <row r="94" spans="1:2" x14ac:dyDescent="0.35">
      <c r="A94" t="s">
        <v>83</v>
      </c>
      <c r="B94" t="s">
        <v>108</v>
      </c>
    </row>
    <row r="95" spans="1:2" x14ac:dyDescent="0.35">
      <c r="A95" t="s">
        <v>45</v>
      </c>
      <c r="B95" t="s">
        <v>87</v>
      </c>
    </row>
    <row r="96" spans="1:2" x14ac:dyDescent="0.35">
      <c r="A96" t="s">
        <v>37</v>
      </c>
      <c r="B96" t="s">
        <v>87</v>
      </c>
    </row>
    <row r="97" spans="1:2" x14ac:dyDescent="0.35">
      <c r="A97" t="s">
        <v>37</v>
      </c>
      <c r="B97" t="s">
        <v>78</v>
      </c>
    </row>
    <row r="98" spans="1:2" x14ac:dyDescent="0.35">
      <c r="A98" t="s">
        <v>46</v>
      </c>
      <c r="B98" t="s">
        <v>78</v>
      </c>
    </row>
    <row r="99" spans="1:2" x14ac:dyDescent="0.35">
      <c r="A99" t="s">
        <v>45</v>
      </c>
      <c r="B99" t="s">
        <v>78</v>
      </c>
    </row>
    <row r="100" spans="1:2" x14ac:dyDescent="0.35">
      <c r="A100" t="s">
        <v>37</v>
      </c>
      <c r="B100" t="s">
        <v>79</v>
      </c>
    </row>
    <row r="101" spans="1:2" x14ac:dyDescent="0.35">
      <c r="A101" t="s">
        <v>45</v>
      </c>
      <c r="B101" t="s">
        <v>79</v>
      </c>
    </row>
    <row r="102" spans="1:2" x14ac:dyDescent="0.35">
      <c r="A102" t="s">
        <v>37</v>
      </c>
      <c r="B102" t="s">
        <v>27</v>
      </c>
    </row>
    <row r="103" spans="1:2" x14ac:dyDescent="0.35">
      <c r="A103" t="s">
        <v>45</v>
      </c>
      <c r="B103" t="s">
        <v>27</v>
      </c>
    </row>
    <row r="104" spans="1:2" x14ac:dyDescent="0.35">
      <c r="A104" t="s">
        <v>37</v>
      </c>
      <c r="B104" t="s">
        <v>28</v>
      </c>
    </row>
    <row r="105" spans="1:2" x14ac:dyDescent="0.35">
      <c r="A105" t="s">
        <v>83</v>
      </c>
      <c r="B105" t="s">
        <v>100</v>
      </c>
    </row>
    <row r="106" spans="1:2" x14ac:dyDescent="0.35">
      <c r="A106" t="s">
        <v>45</v>
      </c>
      <c r="B106" t="s">
        <v>80</v>
      </c>
    </row>
    <row r="107" spans="1:2" x14ac:dyDescent="0.35">
      <c r="A107" t="s">
        <v>45</v>
      </c>
      <c r="B107" t="s">
        <v>101</v>
      </c>
    </row>
    <row r="108" spans="1:2" x14ac:dyDescent="0.35">
      <c r="A108" t="s">
        <v>45</v>
      </c>
      <c r="B108" t="s">
        <v>81</v>
      </c>
    </row>
    <row r="109" spans="1:2" x14ac:dyDescent="0.35">
      <c r="A109" t="s">
        <v>37</v>
      </c>
      <c r="B109" t="s">
        <v>29</v>
      </c>
    </row>
    <row r="110" spans="1:2" x14ac:dyDescent="0.35">
      <c r="A110" t="s">
        <v>45</v>
      </c>
      <c r="B110" t="s">
        <v>29</v>
      </c>
    </row>
    <row r="111" spans="1:2" x14ac:dyDescent="0.35">
      <c r="A111" t="s">
        <v>45</v>
      </c>
      <c r="B111" t="s">
        <v>30</v>
      </c>
    </row>
    <row r="112" spans="1:2" x14ac:dyDescent="0.35">
      <c r="A112" t="s">
        <v>37</v>
      </c>
      <c r="B112" t="s">
        <v>30</v>
      </c>
    </row>
    <row r="113" spans="1:4" x14ac:dyDescent="0.35">
      <c r="A113" t="s">
        <v>37</v>
      </c>
      <c r="B113" t="s">
        <v>96</v>
      </c>
    </row>
    <row r="114" spans="1:4" x14ac:dyDescent="0.35">
      <c r="A114" t="s">
        <v>37</v>
      </c>
      <c r="B114" t="s">
        <v>97</v>
      </c>
    </row>
    <row r="115" spans="1:4" x14ac:dyDescent="0.35">
      <c r="A115" t="s">
        <v>45</v>
      </c>
      <c r="B115" t="s">
        <v>31</v>
      </c>
    </row>
    <row r="116" spans="1:4" x14ac:dyDescent="0.35">
      <c r="A116" t="s">
        <v>37</v>
      </c>
      <c r="B116" t="s">
        <v>31</v>
      </c>
    </row>
    <row r="117" spans="1:4" x14ac:dyDescent="0.35">
      <c r="A117" t="s">
        <v>37</v>
      </c>
      <c r="B117" t="s">
        <v>32</v>
      </c>
    </row>
    <row r="118" spans="1:4" x14ac:dyDescent="0.35">
      <c r="A118" t="s">
        <v>46</v>
      </c>
      <c r="B118" t="s">
        <v>47</v>
      </c>
      <c r="D118" s="7">
        <v>0</v>
      </c>
    </row>
    <row r="119" spans="1:4" x14ac:dyDescent="0.35">
      <c r="A119" t="s">
        <v>46</v>
      </c>
      <c r="B119" t="s">
        <v>47</v>
      </c>
    </row>
    <row r="120" spans="1:4" x14ac:dyDescent="0.35">
      <c r="A120" t="s">
        <v>83</v>
      </c>
      <c r="B120" t="s">
        <v>102</v>
      </c>
    </row>
    <row r="121" spans="1:4" x14ac:dyDescent="0.35">
      <c r="A121" t="s">
        <v>46</v>
      </c>
      <c r="B121" t="s">
        <v>118</v>
      </c>
    </row>
    <row r="122" spans="1:4" x14ac:dyDescent="0.35">
      <c r="A122" t="s">
        <v>37</v>
      </c>
      <c r="B122" t="s">
        <v>110</v>
      </c>
    </row>
    <row r="123" spans="1:4" x14ac:dyDescent="0.35">
      <c r="A123" t="s">
        <v>83</v>
      </c>
      <c r="B123" t="s">
        <v>82</v>
      </c>
    </row>
    <row r="124" spans="1:4" x14ac:dyDescent="0.35">
      <c r="A124" t="s">
        <v>37</v>
      </c>
      <c r="B124" t="s">
        <v>33</v>
      </c>
    </row>
    <row r="125" spans="1:4" x14ac:dyDescent="0.35">
      <c r="A125" t="s">
        <v>37</v>
      </c>
      <c r="B125" t="s">
        <v>34</v>
      </c>
    </row>
    <row r="126" spans="1:4" x14ac:dyDescent="0.35">
      <c r="A126" t="s">
        <v>45</v>
      </c>
      <c r="B126" t="s">
        <v>34</v>
      </c>
    </row>
    <row r="127" spans="1:4" x14ac:dyDescent="0.35">
      <c r="A127" t="s">
        <v>37</v>
      </c>
      <c r="B127" t="s">
        <v>35</v>
      </c>
    </row>
    <row r="128" spans="1:4" x14ac:dyDescent="0.35">
      <c r="A128" t="s">
        <v>45</v>
      </c>
      <c r="B128" t="s">
        <v>103</v>
      </c>
    </row>
    <row r="129" spans="1:2" x14ac:dyDescent="0.35">
      <c r="A129" t="s">
        <v>37</v>
      </c>
      <c r="B129" t="s">
        <v>103</v>
      </c>
    </row>
    <row r="130" spans="1:2" x14ac:dyDescent="0.35">
      <c r="A130" t="s">
        <v>37</v>
      </c>
      <c r="B130" t="s">
        <v>109</v>
      </c>
    </row>
    <row r="131" spans="1:2" x14ac:dyDescent="0.35">
      <c r="A131" t="s">
        <v>45</v>
      </c>
      <c r="B131" t="s">
        <v>109</v>
      </c>
    </row>
    <row r="132" spans="1:2" x14ac:dyDescent="0.35">
      <c r="A132" t="s">
        <v>37</v>
      </c>
      <c r="B132" t="s">
        <v>36</v>
      </c>
    </row>
    <row r="133" spans="1:2" x14ac:dyDescent="0.35">
      <c r="A133" t="s">
        <v>45</v>
      </c>
      <c r="B133" t="s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5731-E7FF-435C-A9B2-169479FA08B2}">
  <dimension ref="A1:C53"/>
  <sheetViews>
    <sheetView topLeftCell="A7" workbookViewId="0">
      <selection activeCell="B18" sqref="B18"/>
    </sheetView>
  </sheetViews>
  <sheetFormatPr defaultRowHeight="14.5" x14ac:dyDescent="0.35"/>
  <cols>
    <col min="1" max="1" width="15.1796875" bestFit="1" customWidth="1"/>
    <col min="2" max="2" width="27.36328125" bestFit="1" customWidth="1"/>
    <col min="3" max="3" width="7.36328125" style="3" bestFit="1" customWidth="1"/>
  </cols>
  <sheetData>
    <row r="1" spans="1:3" x14ac:dyDescent="0.35">
      <c r="A1" t="s">
        <v>1</v>
      </c>
      <c r="B1" t="s">
        <v>53</v>
      </c>
      <c r="C1" s="3" t="s">
        <v>2</v>
      </c>
    </row>
    <row r="2" spans="1:3" x14ac:dyDescent="0.35">
      <c r="A2" s="4" t="s">
        <v>48</v>
      </c>
      <c r="B2" s="1" t="s">
        <v>49</v>
      </c>
      <c r="C2" s="3">
        <v>7.5375117894195362E-2</v>
      </c>
    </row>
    <row r="3" spans="1:3" x14ac:dyDescent="0.35">
      <c r="A3" s="4" t="s">
        <v>48</v>
      </c>
      <c r="B3" s="1" t="s">
        <v>50</v>
      </c>
      <c r="C3" s="3">
        <v>4.7637500000000006E-2</v>
      </c>
    </row>
    <row r="4" spans="1:3" x14ac:dyDescent="0.35">
      <c r="A4" s="4" t="s">
        <v>48</v>
      </c>
      <c r="B4" s="1" t="s">
        <v>51</v>
      </c>
      <c r="C4" s="3">
        <v>6.5419285215514586E-2</v>
      </c>
    </row>
    <row r="5" spans="1:3" x14ac:dyDescent="0.35">
      <c r="A5" s="4" t="s">
        <v>48</v>
      </c>
      <c r="B5" s="1" t="s">
        <v>52</v>
      </c>
      <c r="C5" s="3">
        <v>0.06</v>
      </c>
    </row>
    <row r="6" spans="1:3" x14ac:dyDescent="0.35">
      <c r="A6" t="s">
        <v>54</v>
      </c>
      <c r="B6" s="1" t="s">
        <v>55</v>
      </c>
      <c r="C6" s="3">
        <v>7.0000000000000048E-2</v>
      </c>
    </row>
    <row r="7" spans="1:3" x14ac:dyDescent="0.35">
      <c r="A7" t="s">
        <v>54</v>
      </c>
      <c r="B7" s="1" t="s">
        <v>50</v>
      </c>
      <c r="C7" s="3">
        <v>4.7522388059701506E-2</v>
      </c>
    </row>
    <row r="8" spans="1:3" x14ac:dyDescent="0.35">
      <c r="A8" t="s">
        <v>54</v>
      </c>
      <c r="B8" s="1" t="s">
        <v>51</v>
      </c>
      <c r="C8" s="3">
        <v>6.5528756957328307E-2</v>
      </c>
    </row>
    <row r="9" spans="1:3" x14ac:dyDescent="0.35">
      <c r="A9" t="s">
        <v>54</v>
      </c>
      <c r="B9" s="1" t="s">
        <v>56</v>
      </c>
      <c r="C9" s="3">
        <v>0.06</v>
      </c>
    </row>
    <row r="10" spans="1:3" x14ac:dyDescent="0.35">
      <c r="A10" t="s">
        <v>57</v>
      </c>
      <c r="B10" s="1" t="s">
        <v>58</v>
      </c>
      <c r="C10" s="3">
        <v>4.4117647058823532E-2</v>
      </c>
    </row>
    <row r="11" spans="1:3" x14ac:dyDescent="0.35">
      <c r="A11" t="s">
        <v>57</v>
      </c>
      <c r="B11" s="1" t="s">
        <v>59</v>
      </c>
      <c r="C11" s="3">
        <v>1.6308849689710896E-2</v>
      </c>
    </row>
    <row r="12" spans="1:3" x14ac:dyDescent="0.35">
      <c r="A12" t="s">
        <v>57</v>
      </c>
      <c r="B12" s="1" t="s">
        <v>60</v>
      </c>
      <c r="C12" s="3">
        <v>1.8488929468157955E-2</v>
      </c>
    </row>
    <row r="13" spans="1:3" x14ac:dyDescent="0.35">
      <c r="A13" t="s">
        <v>57</v>
      </c>
      <c r="B13" s="1" t="s">
        <v>61</v>
      </c>
      <c r="C13" s="3">
        <v>1.7273856759248127E-2</v>
      </c>
    </row>
    <row r="14" spans="1:3" x14ac:dyDescent="0.35">
      <c r="A14" t="s">
        <v>57</v>
      </c>
      <c r="B14" s="1" t="s">
        <v>62</v>
      </c>
      <c r="C14" s="3">
        <v>1.4972419227738376E-2</v>
      </c>
    </row>
    <row r="15" spans="1:3" x14ac:dyDescent="0.35">
      <c r="A15" t="s">
        <v>63</v>
      </c>
      <c r="B15" s="1" t="s">
        <v>64</v>
      </c>
      <c r="C15" s="3">
        <v>1.9002214710339201E-2</v>
      </c>
    </row>
    <row r="16" spans="1:3" x14ac:dyDescent="0.35">
      <c r="A16" t="s">
        <v>63</v>
      </c>
      <c r="B16" s="1" t="s">
        <v>65</v>
      </c>
      <c r="C16" s="3">
        <v>2.9820293494467551E-2</v>
      </c>
    </row>
    <row r="17" spans="1:3" x14ac:dyDescent="0.35">
      <c r="A17" t="s">
        <v>63</v>
      </c>
      <c r="B17" s="1" t="s">
        <v>119</v>
      </c>
      <c r="C17" s="3">
        <v>1.7066593849199577E-2</v>
      </c>
    </row>
    <row r="18" spans="1:3" x14ac:dyDescent="0.35">
      <c r="B18" s="1"/>
    </row>
    <row r="19" spans="1:3" x14ac:dyDescent="0.35">
      <c r="B19" s="1"/>
    </row>
    <row r="20" spans="1:3" x14ac:dyDescent="0.35">
      <c r="B20" s="1"/>
    </row>
    <row r="21" spans="1:3" x14ac:dyDescent="0.35">
      <c r="B21" s="1"/>
    </row>
    <row r="22" spans="1:3" x14ac:dyDescent="0.35">
      <c r="B22" s="1"/>
    </row>
    <row r="23" spans="1:3" x14ac:dyDescent="0.35">
      <c r="B23" s="1"/>
    </row>
    <row r="24" spans="1:3" x14ac:dyDescent="0.35">
      <c r="B24" s="1"/>
    </row>
    <row r="25" spans="1:3" x14ac:dyDescent="0.35">
      <c r="B25" s="1"/>
    </row>
    <row r="26" spans="1:3" x14ac:dyDescent="0.35">
      <c r="B26" s="1"/>
    </row>
    <row r="27" spans="1:3" x14ac:dyDescent="0.35">
      <c r="B27" s="1"/>
    </row>
    <row r="28" spans="1:3" x14ac:dyDescent="0.35">
      <c r="B28" s="1"/>
    </row>
    <row r="29" spans="1:3" x14ac:dyDescent="0.35">
      <c r="B29" s="1"/>
    </row>
    <row r="30" spans="1:3" x14ac:dyDescent="0.35">
      <c r="B30" s="1"/>
    </row>
    <row r="31" spans="1:3" x14ac:dyDescent="0.35">
      <c r="B31" s="1"/>
    </row>
    <row r="32" spans="1:3" x14ac:dyDescent="0.35">
      <c r="B32" s="1"/>
    </row>
    <row r="33" spans="2:2" x14ac:dyDescent="0.35">
      <c r="B33" s="1"/>
    </row>
    <row r="34" spans="2:2" x14ac:dyDescent="0.35">
      <c r="B34" s="1"/>
    </row>
    <row r="35" spans="2:2" x14ac:dyDescent="0.35">
      <c r="B35" s="1"/>
    </row>
    <row r="36" spans="2:2" x14ac:dyDescent="0.35">
      <c r="B36" s="1"/>
    </row>
    <row r="37" spans="2:2" x14ac:dyDescent="0.35">
      <c r="B37" s="1"/>
    </row>
    <row r="38" spans="2:2" x14ac:dyDescent="0.35">
      <c r="B38" s="1"/>
    </row>
    <row r="39" spans="2:2" x14ac:dyDescent="0.35">
      <c r="B39" s="1"/>
    </row>
    <row r="40" spans="2:2" x14ac:dyDescent="0.35">
      <c r="B40" s="1"/>
    </row>
    <row r="41" spans="2:2" x14ac:dyDescent="0.35">
      <c r="B41" s="1"/>
    </row>
    <row r="42" spans="2:2" x14ac:dyDescent="0.35">
      <c r="B42" s="1"/>
    </row>
    <row r="43" spans="2:2" x14ac:dyDescent="0.35">
      <c r="B43" s="1"/>
    </row>
    <row r="44" spans="2:2" x14ac:dyDescent="0.35">
      <c r="B44" s="1"/>
    </row>
    <row r="45" spans="2:2" x14ac:dyDescent="0.35">
      <c r="B45" s="1"/>
    </row>
    <row r="46" spans="2:2" x14ac:dyDescent="0.35">
      <c r="B46" s="1"/>
    </row>
    <row r="47" spans="2:2" x14ac:dyDescent="0.35">
      <c r="B47" s="1"/>
    </row>
    <row r="48" spans="2:2" x14ac:dyDescent="0.35">
      <c r="B48" s="1"/>
    </row>
    <row r="49" spans="2:2" x14ac:dyDescent="0.35">
      <c r="B49" s="1"/>
    </row>
    <row r="50" spans="2:2" x14ac:dyDescent="0.35">
      <c r="B50" s="1"/>
    </row>
    <row r="51" spans="2:2" x14ac:dyDescent="0.35">
      <c r="B51" s="1"/>
    </row>
    <row r="52" spans="2:2" x14ac:dyDescent="0.35">
      <c r="B52" s="1"/>
    </row>
    <row r="53" spans="2:2" x14ac:dyDescent="0.35">
      <c r="B5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BF6E-F7B9-466C-B37D-4BDA5D3DB5E8}">
  <dimension ref="A1:C48"/>
  <sheetViews>
    <sheetView workbookViewId="0">
      <selection activeCell="D9" sqref="D9"/>
    </sheetView>
  </sheetViews>
  <sheetFormatPr defaultRowHeight="14.5" x14ac:dyDescent="0.35"/>
  <cols>
    <col min="1" max="1" width="15.1796875" bestFit="1" customWidth="1"/>
    <col min="2" max="2" width="27.36328125" bestFit="1" customWidth="1"/>
    <col min="3" max="3" width="7.81640625" style="3" bestFit="1" customWidth="1"/>
  </cols>
  <sheetData>
    <row r="1" spans="1:3" x14ac:dyDescent="0.35">
      <c r="A1" t="s">
        <v>1</v>
      </c>
      <c r="B1" t="s">
        <v>53</v>
      </c>
      <c r="C1" s="3" t="s">
        <v>2</v>
      </c>
    </row>
    <row r="2" spans="1:3" x14ac:dyDescent="0.35">
      <c r="A2" s="4" t="s">
        <v>48</v>
      </c>
      <c r="B2" s="1" t="s">
        <v>49</v>
      </c>
      <c r="C2" s="3">
        <v>7.5375117894195362E-2</v>
      </c>
    </row>
    <row r="3" spans="1:3" x14ac:dyDescent="0.35">
      <c r="A3" s="4" t="s">
        <v>48</v>
      </c>
      <c r="B3" s="1" t="s">
        <v>50</v>
      </c>
      <c r="C3" s="3">
        <v>4.7637500000000006E-2</v>
      </c>
    </row>
    <row r="4" spans="1:3" x14ac:dyDescent="0.35">
      <c r="A4" s="4" t="s">
        <v>48</v>
      </c>
      <c r="B4" s="1" t="s">
        <v>51</v>
      </c>
      <c r="C4" s="3">
        <v>6.5419285215514586E-2</v>
      </c>
    </row>
    <row r="5" spans="1:3" x14ac:dyDescent="0.35">
      <c r="A5" s="4" t="s">
        <v>48</v>
      </c>
      <c r="B5" s="1" t="s">
        <v>52</v>
      </c>
      <c r="C5" s="3">
        <v>0.06</v>
      </c>
    </row>
    <row r="6" spans="1:3" x14ac:dyDescent="0.35">
      <c r="A6" t="s">
        <v>54</v>
      </c>
      <c r="B6" s="1" t="s">
        <v>55</v>
      </c>
      <c r="C6" s="3">
        <v>7.0000000000000048E-2</v>
      </c>
    </row>
    <row r="7" spans="1:3" x14ac:dyDescent="0.35">
      <c r="A7" t="s">
        <v>54</v>
      </c>
      <c r="B7" s="1" t="s">
        <v>50</v>
      </c>
      <c r="C7" s="3">
        <v>4.7522388059701506E-2</v>
      </c>
    </row>
    <row r="8" spans="1:3" x14ac:dyDescent="0.35">
      <c r="A8" t="s">
        <v>54</v>
      </c>
      <c r="B8" s="1" t="s">
        <v>51</v>
      </c>
      <c r="C8" s="3">
        <v>6.5528756957328307E-2</v>
      </c>
    </row>
    <row r="9" spans="1:3" x14ac:dyDescent="0.35">
      <c r="A9" t="s">
        <v>54</v>
      </c>
      <c r="B9" s="1" t="s">
        <v>56</v>
      </c>
      <c r="C9" s="3">
        <v>0.06</v>
      </c>
    </row>
    <row r="10" spans="1:3" x14ac:dyDescent="0.35">
      <c r="A10" t="s">
        <v>63</v>
      </c>
      <c r="B10" s="1" t="s">
        <v>64</v>
      </c>
      <c r="C10" s="2">
        <v>4.5448641834971826E-2</v>
      </c>
    </row>
    <row r="11" spans="1:3" x14ac:dyDescent="0.35">
      <c r="A11" t="s">
        <v>63</v>
      </c>
      <c r="B11" s="1" t="s">
        <v>119</v>
      </c>
      <c r="C11" s="3">
        <v>1.7066593849199577E-2</v>
      </c>
    </row>
    <row r="12" spans="1:3" x14ac:dyDescent="0.35">
      <c r="A12" t="s">
        <v>63</v>
      </c>
      <c r="B12" s="1" t="s">
        <v>65</v>
      </c>
      <c r="C12" s="3">
        <v>2.9820293494467551E-2</v>
      </c>
    </row>
    <row r="13" spans="1:3" x14ac:dyDescent="0.35">
      <c r="B13" s="1"/>
    </row>
    <row r="14" spans="1:3" x14ac:dyDescent="0.35">
      <c r="B14" s="1"/>
    </row>
    <row r="15" spans="1:3" x14ac:dyDescent="0.35">
      <c r="B15" s="1"/>
    </row>
    <row r="16" spans="1:3" x14ac:dyDescent="0.35">
      <c r="B16" s="1"/>
    </row>
    <row r="17" spans="2:2" x14ac:dyDescent="0.35">
      <c r="B17" s="1"/>
    </row>
    <row r="18" spans="2:2" x14ac:dyDescent="0.35">
      <c r="B18" s="1"/>
    </row>
    <row r="19" spans="2:2" x14ac:dyDescent="0.35">
      <c r="B19" s="1"/>
    </row>
    <row r="20" spans="2:2" x14ac:dyDescent="0.35">
      <c r="B20" s="1"/>
    </row>
    <row r="21" spans="2:2" x14ac:dyDescent="0.35">
      <c r="B21" s="1"/>
    </row>
    <row r="22" spans="2:2" x14ac:dyDescent="0.35">
      <c r="B22" s="1"/>
    </row>
    <row r="23" spans="2:2" x14ac:dyDescent="0.35">
      <c r="B23" s="1"/>
    </row>
    <row r="24" spans="2:2" x14ac:dyDescent="0.35">
      <c r="B24" s="1"/>
    </row>
    <row r="25" spans="2:2" x14ac:dyDescent="0.35">
      <c r="B25" s="1"/>
    </row>
    <row r="26" spans="2:2" x14ac:dyDescent="0.35">
      <c r="B26" s="1"/>
    </row>
    <row r="27" spans="2:2" x14ac:dyDescent="0.35">
      <c r="B27" s="1"/>
    </row>
    <row r="28" spans="2:2" x14ac:dyDescent="0.35">
      <c r="B28" s="1"/>
    </row>
    <row r="29" spans="2:2" x14ac:dyDescent="0.35">
      <c r="B29" s="1"/>
    </row>
    <row r="30" spans="2:2" x14ac:dyDescent="0.35">
      <c r="B30" s="1"/>
    </row>
    <row r="31" spans="2:2" x14ac:dyDescent="0.35">
      <c r="B31" s="1"/>
    </row>
    <row r="32" spans="2:2" x14ac:dyDescent="0.35">
      <c r="B32" s="1"/>
    </row>
    <row r="33" spans="2:2" x14ac:dyDescent="0.35">
      <c r="B33" s="1"/>
    </row>
    <row r="34" spans="2:2" x14ac:dyDescent="0.35">
      <c r="B34" s="1"/>
    </row>
    <row r="35" spans="2:2" x14ac:dyDescent="0.35">
      <c r="B35" s="1"/>
    </row>
    <row r="36" spans="2:2" x14ac:dyDescent="0.35">
      <c r="B36" s="1"/>
    </row>
    <row r="37" spans="2:2" x14ac:dyDescent="0.35">
      <c r="B37" s="1"/>
    </row>
    <row r="38" spans="2:2" x14ac:dyDescent="0.35">
      <c r="B38" s="1"/>
    </row>
    <row r="39" spans="2:2" x14ac:dyDescent="0.35">
      <c r="B39" s="1"/>
    </row>
    <row r="40" spans="2:2" x14ac:dyDescent="0.35">
      <c r="B40" s="1"/>
    </row>
    <row r="41" spans="2:2" x14ac:dyDescent="0.35">
      <c r="B41" s="1"/>
    </row>
    <row r="42" spans="2:2" x14ac:dyDescent="0.35">
      <c r="B42" s="1"/>
    </row>
    <row r="43" spans="2:2" x14ac:dyDescent="0.35">
      <c r="B43" s="1"/>
    </row>
    <row r="44" spans="2:2" x14ac:dyDescent="0.35">
      <c r="B44" s="1"/>
    </row>
    <row r="45" spans="2:2" x14ac:dyDescent="0.35">
      <c r="B45" s="1"/>
    </row>
    <row r="46" spans="2:2" x14ac:dyDescent="0.35">
      <c r="B46" s="1"/>
    </row>
    <row r="47" spans="2:2" x14ac:dyDescent="0.35">
      <c r="B47" s="1"/>
    </row>
    <row r="48" spans="2:2" x14ac:dyDescent="0.35">
      <c r="B4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Corporate</vt:lpstr>
      <vt:lpstr>Sheet1</vt:lpstr>
      <vt:lpstr>Retail</vt:lpstr>
      <vt:lpstr>SMB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Rockson</dc:creator>
  <cp:lastModifiedBy>Prince Acquah  Rockson</cp:lastModifiedBy>
  <dcterms:created xsi:type="dcterms:W3CDTF">2015-06-05T18:17:20Z</dcterms:created>
  <dcterms:modified xsi:type="dcterms:W3CDTF">2026-04-17T09:48:13Z</dcterms:modified>
</cp:coreProperties>
</file>