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.acquahrockson\Desktop\Sla-tracker\config\"/>
    </mc:Choice>
  </mc:AlternateContent>
  <xr:revisionPtr revIDLastSave="0" documentId="8_{4E04C085-0428-444A-BC42-374AA5EB8F0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rporate" sheetId="1" r:id="rId1"/>
    <sheet name="Sheet1" sheetId="5" r:id="rId2"/>
    <sheet name="Retail" sheetId="2" r:id="rId3"/>
    <sheet name="SMB" sheetId="3" r:id="rId4"/>
  </sheets>
  <definedNames>
    <definedName name="_xlnm._FilterDatabase" localSheetId="0" hidden="1">Corporate!$A$1:$C$56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8" i="5" l="1"/>
  <c r="F67" i="5"/>
  <c r="F64" i="5"/>
  <c r="F60" i="5"/>
  <c r="F57" i="5"/>
  <c r="F48" i="5"/>
  <c r="F38" i="5"/>
  <c r="F32" i="5"/>
  <c r="F29" i="5"/>
  <c r="F15" i="5"/>
  <c r="F12" i="5"/>
  <c r="F11" i="5"/>
  <c r="F8" i="5"/>
  <c r="F7" i="5"/>
  <c r="F3" i="5"/>
  <c r="C68" i="1"/>
  <c r="C67" i="1"/>
  <c r="C8" i="1"/>
  <c r="C48" i="1"/>
  <c r="C64" i="1"/>
  <c r="C32" i="1"/>
  <c r="C29" i="1"/>
  <c r="C12" i="1"/>
  <c r="C11" i="1"/>
  <c r="C7" i="1"/>
  <c r="C57" i="1"/>
  <c r="C15" i="1"/>
  <c r="C3" i="1"/>
  <c r="C60" i="1" l="1"/>
  <c r="C38" i="1"/>
</calcChain>
</file>

<file path=xl/sharedStrings.xml><?xml version="1.0" encoding="utf-8"?>
<sst xmlns="http://schemas.openxmlformats.org/spreadsheetml/2006/main" count="340" uniqueCount="81">
  <si>
    <t>Name</t>
  </si>
  <si>
    <t>Category</t>
  </si>
  <si>
    <t>Target</t>
  </si>
  <si>
    <t>ASANTE KOTOKO SPORTING CLUB LIMITED</t>
  </si>
  <si>
    <t>AYATICKETS LTD.</t>
  </si>
  <si>
    <t>BLUE IDEAR</t>
  </si>
  <si>
    <t>Coronation Insurance</t>
  </si>
  <si>
    <t>EBENEZER THOMPSON MEMORIAL SCHOOL</t>
  </si>
  <si>
    <t>FAITHWORD CHARISMATIC MINISTRIES</t>
  </si>
  <si>
    <t>Ga Rural Bank Limited</t>
  </si>
  <si>
    <t>GameKaya (Efini)</t>
  </si>
  <si>
    <t>Hydro Co-operative Credit Union</t>
  </si>
  <si>
    <t>Hyper Pay Ghana</t>
  </si>
  <si>
    <t>IGNITIA GHANA LTD</t>
  </si>
  <si>
    <t>INGAME TECHNOLOGY LTD</t>
  </si>
  <si>
    <t>KORBA PAY</t>
  </si>
  <si>
    <t>Kwami Alone Enterprise</t>
  </si>
  <si>
    <t>Loud Company Limited</t>
  </si>
  <si>
    <t>LUCKYLIVE (FORTULIVE)</t>
  </si>
  <si>
    <t>Mighty Service Venture</t>
  </si>
  <si>
    <t>mNotify Company Limited</t>
  </si>
  <si>
    <t>Mobicom Excite</t>
  </si>
  <si>
    <t>POLICE HOSPITAL CO-OPERATIVE CREDIT UNION</t>
  </si>
  <si>
    <t>POWERCARE ENERGY LTD</t>
  </si>
  <si>
    <t>PRESTO SOLUTIONS</t>
  </si>
  <si>
    <t>Prudential Life</t>
  </si>
  <si>
    <t>Rancard Solutions</t>
  </si>
  <si>
    <t>ROBSAM TECHNOLOGIES</t>
  </si>
  <si>
    <t>Roverman Production</t>
  </si>
  <si>
    <t>SAVEST TECHNOLOGY LIMITED</t>
  </si>
  <si>
    <t>Speakupp Digital Services</t>
  </si>
  <si>
    <t>STASH UP SUSU ENTERPRISE</t>
  </si>
  <si>
    <t>Sunflower</t>
  </si>
  <si>
    <t>TOP MENSAH VENTURES</t>
  </si>
  <si>
    <t>UGCCU</t>
  </si>
  <si>
    <t>VICTORY BIBLE CHURCH INTERNATIONAL</t>
  </si>
  <si>
    <t>WIWI GAMING AND ENTERTAINMENT LIMITED</t>
  </si>
  <si>
    <t>Collection</t>
  </si>
  <si>
    <t>AFWEST INTERNATIONAL SECURITY</t>
  </si>
  <si>
    <t>AYA TICKETS</t>
  </si>
  <si>
    <t>ENTERPRISE CLAIMS</t>
  </si>
  <si>
    <t>ENTERPRISE FUNERAL SERVICES GHANA LIMITED</t>
  </si>
  <si>
    <t>KRISH TECH ENTERPRISE</t>
  </si>
  <si>
    <t>Loyalty Insurance Disbursement</t>
  </si>
  <si>
    <t>Omni Group Ghana ltd</t>
  </si>
  <si>
    <t>Disbursement</t>
  </si>
  <si>
    <t>E-Distribution</t>
  </si>
  <si>
    <t>Airtime Purchase</t>
  </si>
  <si>
    <t>AT_TOPUP</t>
  </si>
  <si>
    <t>MPAY</t>
  </si>
  <si>
    <t>rancard_voda</t>
  </si>
  <si>
    <t>YELLOW_CURRENCY_AIRTIME</t>
  </si>
  <si>
    <t>Disbursement Channel Name</t>
  </si>
  <si>
    <t>Data Purchase</t>
  </si>
  <si>
    <t>AT_DATA</t>
  </si>
  <si>
    <t>YELLOW_CURRENCY_DATA</t>
  </si>
  <si>
    <t>Funds Transfer</t>
  </si>
  <si>
    <t>AT Main</t>
  </si>
  <si>
    <t>GHIPPS</t>
  </si>
  <si>
    <t>MTN MAD API</t>
  </si>
  <si>
    <t>MTN_DIRECT_CREDIT</t>
  </si>
  <si>
    <t>Telecel Main</t>
  </si>
  <si>
    <t>Utilities</t>
  </si>
  <si>
    <t>ECG Direct</t>
  </si>
  <si>
    <t>ETRANSACT</t>
  </si>
  <si>
    <t>LIFELINE FOR CHILDHOOD CANCER GHANA</t>
  </si>
  <si>
    <t>BENBOABEN PLUS LIMITED COMPANY</t>
  </si>
  <si>
    <t>ACCRA HEARTS OF OAK SC</t>
  </si>
  <si>
    <t>WINWIN GAMES</t>
  </si>
  <si>
    <t>Empowerment Worship Center</t>
  </si>
  <si>
    <t>NEW_GWCL</t>
  </si>
  <si>
    <t>Type</t>
  </si>
  <si>
    <t>DEVPLUSE TECHNOLOGY</t>
  </si>
  <si>
    <t>Jesi Education Technology Ltd.</t>
  </si>
  <si>
    <t>Progressive Security Co. Ltd</t>
  </si>
  <si>
    <t>Min_amt</t>
  </si>
  <si>
    <t>Max_amt</t>
  </si>
  <si>
    <t>Target_Value</t>
  </si>
  <si>
    <t>Is_Percentage</t>
  </si>
  <si>
    <t>Flat</t>
  </si>
  <si>
    <t>Limit_Value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</si>
</sst>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_(* #,##0.0000_);_(* \(#,##0.00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indent="1"/>
    </xf>
    <xf numFmtId="164" fontId="0" fillId="0" borderId="0" xfId="1" applyNumberFormat="1" applyFont="1"/>
    <xf numFmtId="164" fontId="1" fillId="0" borderId="0" xfId="1" applyNumberFormat="1" applyFont="1"/>
    <xf numFmtId="0" fontId="0" fillId="0" borderId="1" xfId="0" applyBorder="1" applyAlignment="1">
      <alignment horizontal="left"/>
    </xf>
    <xf numFmtId="165" fontId="0" fillId="0" borderId="0" xfId="1" applyNumberFormat="1" applyFont="1"/>
    <xf numFmtId="43" fontId="0" fillId="0" borderId="0" xfId="1" applyFont="1"/>
    <xf numFmtId="43" fontId="0" fillId="0" borderId="0" xfId="1" applyFont="1" applyAlignment="1">
      <alignment horizontal="left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workbookViewId="0">
      <selection sqref="A1:XFD1048576"/>
    </sheetView>
  </sheetViews>
  <sheetFormatPr defaultRowHeight="14.5" x14ac:dyDescent="0.35"/>
  <cols>
    <col min="1" max="1" width="12.453125" bestFit="1" customWidth="1"/>
    <col min="2" max="2" width="42.90625" bestFit="1" customWidth="1"/>
    <col min="3" max="3" width="11.81640625" style="5" bestFit="1" customWidth="1"/>
  </cols>
  <sheetData>
    <row r="1" spans="1:3" x14ac:dyDescent="0.35">
      <c r="A1" t="s">
        <v>1</v>
      </c>
      <c r="B1" t="s">
        <v>0</v>
      </c>
      <c r="C1" s="5" t="s">
        <v>2</v>
      </c>
    </row>
    <row r="2" spans="1:3" x14ac:dyDescent="0.35">
      <c r="A2" t="s">
        <v>37</v>
      </c>
      <c r="B2" s="1" t="s">
        <v>67</v>
      </c>
      <c r="C2" s="5">
        <v>0.02</v>
      </c>
    </row>
    <row r="3" spans="1:3" x14ac:dyDescent="0.35">
      <c r="A3" t="s">
        <v>45</v>
      </c>
      <c r="B3" s="1" t="s">
        <v>38</v>
      </c>
      <c r="C3" s="5">
        <f>0.5%</f>
        <v>5.0000000000000001E-3</v>
      </c>
    </row>
    <row r="4" spans="1:3" x14ac:dyDescent="0.35">
      <c r="A4" t="s">
        <v>37</v>
      </c>
      <c r="B4" s="1" t="s">
        <v>3</v>
      </c>
      <c r="C4" s="5">
        <v>0.05</v>
      </c>
    </row>
    <row r="5" spans="1:3" x14ac:dyDescent="0.35">
      <c r="A5" t="s">
        <v>45</v>
      </c>
      <c r="B5" s="1" t="s">
        <v>39</v>
      </c>
      <c r="C5" s="5">
        <v>5.000000000000001E-3</v>
      </c>
    </row>
    <row r="6" spans="1:3" x14ac:dyDescent="0.35">
      <c r="A6" t="s">
        <v>37</v>
      </c>
      <c r="B6" s="1" t="s">
        <v>4</v>
      </c>
      <c r="C6" s="5">
        <v>1.4999999999999998E-2</v>
      </c>
    </row>
    <row r="7" spans="1:3" x14ac:dyDescent="0.35">
      <c r="A7" t="s">
        <v>37</v>
      </c>
      <c r="B7" s="1" t="s">
        <v>66</v>
      </c>
      <c r="C7" s="5">
        <f>1.5%</f>
        <v>1.4999999999999999E-2</v>
      </c>
    </row>
    <row r="8" spans="1:3" x14ac:dyDescent="0.35">
      <c r="A8" t="s">
        <v>45</v>
      </c>
      <c r="B8" s="1" t="s">
        <v>66</v>
      </c>
      <c r="C8" s="5">
        <f>1%</f>
        <v>0.01</v>
      </c>
    </row>
    <row r="9" spans="1:3" x14ac:dyDescent="0.35">
      <c r="A9" t="s">
        <v>37</v>
      </c>
      <c r="B9" s="1" t="s">
        <v>5</v>
      </c>
      <c r="C9" s="5">
        <v>1.5000000000000005E-2</v>
      </c>
    </row>
    <row r="10" spans="1:3" x14ac:dyDescent="0.35">
      <c r="A10" t="s">
        <v>37</v>
      </c>
      <c r="B10" s="1" t="s">
        <v>6</v>
      </c>
      <c r="C10" s="5">
        <v>1.5000000000000003E-2</v>
      </c>
    </row>
    <row r="11" spans="1:3" x14ac:dyDescent="0.35">
      <c r="A11" t="s">
        <v>37</v>
      </c>
      <c r="B11" s="1" t="s">
        <v>72</v>
      </c>
      <c r="C11" s="5">
        <f>1.5%</f>
        <v>1.4999999999999999E-2</v>
      </c>
    </row>
    <row r="12" spans="1:3" x14ac:dyDescent="0.35">
      <c r="A12" t="s">
        <v>45</v>
      </c>
      <c r="B12" s="1" t="s">
        <v>72</v>
      </c>
      <c r="C12" s="5">
        <f>1%</f>
        <v>0.01</v>
      </c>
    </row>
    <row r="13" spans="1:3" x14ac:dyDescent="0.35">
      <c r="A13" t="s">
        <v>37</v>
      </c>
      <c r="B13" s="1" t="s">
        <v>7</v>
      </c>
      <c r="C13" s="5">
        <v>1.4999999999999999E-2</v>
      </c>
    </row>
    <row r="14" spans="1:3" x14ac:dyDescent="0.35">
      <c r="A14" t="s">
        <v>37</v>
      </c>
      <c r="B14" s="1" t="s">
        <v>69</v>
      </c>
      <c r="C14" s="5">
        <v>0.02</v>
      </c>
    </row>
    <row r="15" spans="1:3" x14ac:dyDescent="0.35">
      <c r="A15" t="s">
        <v>45</v>
      </c>
      <c r="B15" s="1" t="s">
        <v>40</v>
      </c>
      <c r="C15" s="5">
        <f>1.5%</f>
        <v>1.4999999999999999E-2</v>
      </c>
    </row>
    <row r="16" spans="1:3" x14ac:dyDescent="0.35">
      <c r="A16" t="s">
        <v>45</v>
      </c>
      <c r="B16" s="1" t="s">
        <v>41</v>
      </c>
      <c r="C16" s="5">
        <v>3.0919741680237212E-3</v>
      </c>
    </row>
    <row r="17" spans="1:3" x14ac:dyDescent="0.35">
      <c r="A17" t="s">
        <v>37</v>
      </c>
      <c r="B17" s="1" t="s">
        <v>8</v>
      </c>
      <c r="C17" s="5">
        <v>1.4999999999999999E-2</v>
      </c>
    </row>
    <row r="18" spans="1:3" x14ac:dyDescent="0.35">
      <c r="A18" t="s">
        <v>37</v>
      </c>
      <c r="B18" s="1" t="s">
        <v>9</v>
      </c>
      <c r="C18" s="5">
        <v>9.9999999999999985E-3</v>
      </c>
    </row>
    <row r="19" spans="1:3" x14ac:dyDescent="0.35">
      <c r="A19" t="s">
        <v>45</v>
      </c>
      <c r="B19" s="1" t="s">
        <v>9</v>
      </c>
      <c r="C19" s="5">
        <v>3.3075860458781641E-3</v>
      </c>
    </row>
    <row r="20" spans="1:3" x14ac:dyDescent="0.35">
      <c r="A20" t="s">
        <v>46</v>
      </c>
      <c r="B20" s="1" t="s">
        <v>9</v>
      </c>
      <c r="C20" s="5">
        <v>0.19421428571428576</v>
      </c>
    </row>
    <row r="21" spans="1:3" x14ac:dyDescent="0.35">
      <c r="A21" t="s">
        <v>37</v>
      </c>
      <c r="B21" s="1" t="s">
        <v>10</v>
      </c>
      <c r="C21" s="5">
        <v>1.7999999999999999E-2</v>
      </c>
    </row>
    <row r="22" spans="1:3" x14ac:dyDescent="0.35">
      <c r="A22" t="s">
        <v>37</v>
      </c>
      <c r="B22" s="1" t="s">
        <v>11</v>
      </c>
      <c r="C22" s="5">
        <v>0.01</v>
      </c>
    </row>
    <row r="23" spans="1:3" x14ac:dyDescent="0.35">
      <c r="A23" t="s">
        <v>45</v>
      </c>
      <c r="B23" s="1" t="s">
        <v>11</v>
      </c>
      <c r="C23" s="5">
        <v>4.9999999999999992E-3</v>
      </c>
    </row>
    <row r="24" spans="1:3" x14ac:dyDescent="0.35">
      <c r="A24" t="s">
        <v>37</v>
      </c>
      <c r="B24" s="1" t="s">
        <v>12</v>
      </c>
      <c r="C24" s="5">
        <v>1.1999999999999999E-2</v>
      </c>
    </row>
    <row r="25" spans="1:3" x14ac:dyDescent="0.35">
      <c r="A25" t="s">
        <v>45</v>
      </c>
      <c r="B25" s="1" t="s">
        <v>12</v>
      </c>
      <c r="C25" s="5">
        <v>5.000000000000001E-3</v>
      </c>
    </row>
    <row r="26" spans="1:3" x14ac:dyDescent="0.35">
      <c r="A26" t="s">
        <v>37</v>
      </c>
      <c r="B26" s="1" t="s">
        <v>13</v>
      </c>
      <c r="C26" s="5">
        <v>1.0000000000000963E-2</v>
      </c>
    </row>
    <row r="27" spans="1:3" x14ac:dyDescent="0.35">
      <c r="A27" t="s">
        <v>37</v>
      </c>
      <c r="B27" s="1" t="s">
        <v>14</v>
      </c>
      <c r="C27" s="5">
        <v>1.7999999999999947E-2</v>
      </c>
    </row>
    <row r="28" spans="1:3" x14ac:dyDescent="0.35">
      <c r="A28" t="s">
        <v>45</v>
      </c>
      <c r="B28" s="1" t="s">
        <v>14</v>
      </c>
      <c r="C28" s="5">
        <v>4.0000000000000002E-4</v>
      </c>
    </row>
    <row r="29" spans="1:3" x14ac:dyDescent="0.35">
      <c r="A29" t="s">
        <v>37</v>
      </c>
      <c r="B29" s="1" t="s">
        <v>73</v>
      </c>
      <c r="C29" s="5">
        <f>1.5%</f>
        <v>1.4999999999999999E-2</v>
      </c>
    </row>
    <row r="30" spans="1:3" x14ac:dyDescent="0.35">
      <c r="A30" t="s">
        <v>37</v>
      </c>
      <c r="B30" s="1" t="s">
        <v>15</v>
      </c>
      <c r="C30" s="5">
        <v>1.2499999999999999E-2</v>
      </c>
    </row>
    <row r="31" spans="1:3" x14ac:dyDescent="0.35">
      <c r="A31" t="s">
        <v>45</v>
      </c>
      <c r="B31" s="1" t="s">
        <v>42</v>
      </c>
      <c r="C31" s="5">
        <v>5.0000000000000001E-3</v>
      </c>
    </row>
    <row r="32" spans="1:3" x14ac:dyDescent="0.35">
      <c r="A32" t="s">
        <v>37</v>
      </c>
      <c r="B32" s="1" t="s">
        <v>42</v>
      </c>
      <c r="C32" s="5">
        <f>1.5%</f>
        <v>1.4999999999999999E-2</v>
      </c>
    </row>
    <row r="33" spans="1:3" x14ac:dyDescent="0.35">
      <c r="A33" t="s">
        <v>37</v>
      </c>
      <c r="B33" s="1" t="s">
        <v>16</v>
      </c>
      <c r="C33" s="5">
        <v>1.4999999999999999E-2</v>
      </c>
    </row>
    <row r="34" spans="1:3" x14ac:dyDescent="0.35">
      <c r="A34" t="s">
        <v>46</v>
      </c>
      <c r="B34" s="1" t="s">
        <v>16</v>
      </c>
      <c r="C34" s="5">
        <v>1.4999999999999999E-2</v>
      </c>
    </row>
    <row r="35" spans="1:3" x14ac:dyDescent="0.35">
      <c r="A35" t="s">
        <v>37</v>
      </c>
      <c r="B35" s="1" t="s">
        <v>65</v>
      </c>
      <c r="C35" s="5">
        <v>1.4999999999999999E-2</v>
      </c>
    </row>
    <row r="36" spans="1:3" x14ac:dyDescent="0.35">
      <c r="A36" t="s">
        <v>37</v>
      </c>
      <c r="B36" s="1" t="s">
        <v>17</v>
      </c>
      <c r="C36" s="5">
        <v>2.0000000000000011E-2</v>
      </c>
    </row>
    <row r="37" spans="1:3" x14ac:dyDescent="0.35">
      <c r="A37" t="s">
        <v>45</v>
      </c>
      <c r="B37" s="1" t="s">
        <v>43</v>
      </c>
      <c r="C37" s="5">
        <v>4.3165203929834859E-3</v>
      </c>
    </row>
    <row r="38" spans="1:3" x14ac:dyDescent="0.35">
      <c r="A38" t="s">
        <v>37</v>
      </c>
      <c r="B38" s="1" t="s">
        <v>18</v>
      </c>
      <c r="C38" s="5">
        <f>1.85%</f>
        <v>1.8500000000000003E-2</v>
      </c>
    </row>
    <row r="39" spans="1:3" x14ac:dyDescent="0.35">
      <c r="A39" t="s">
        <v>37</v>
      </c>
      <c r="B39" s="1" t="s">
        <v>19</v>
      </c>
      <c r="C39" s="5">
        <v>1.499999999999998E-2</v>
      </c>
    </row>
    <row r="40" spans="1:3" x14ac:dyDescent="0.35">
      <c r="A40" t="s">
        <v>37</v>
      </c>
      <c r="B40" s="1" t="s">
        <v>20</v>
      </c>
      <c r="C40" s="5">
        <v>1.4999999999999999E-2</v>
      </c>
    </row>
    <row r="41" spans="1:3" x14ac:dyDescent="0.35">
      <c r="A41" t="s">
        <v>37</v>
      </c>
      <c r="B41" s="1" t="s">
        <v>21</v>
      </c>
      <c r="C41" s="5">
        <v>1.499999999999998E-2</v>
      </c>
    </row>
    <row r="42" spans="1:3" x14ac:dyDescent="0.35">
      <c r="A42" t="s">
        <v>45</v>
      </c>
      <c r="B42" s="1" t="s">
        <v>44</v>
      </c>
      <c r="C42" s="5">
        <v>9.0244562765093403E-4</v>
      </c>
    </row>
    <row r="43" spans="1:3" x14ac:dyDescent="0.35">
      <c r="A43" t="s">
        <v>37</v>
      </c>
      <c r="B43" s="1" t="s">
        <v>22</v>
      </c>
      <c r="C43" s="5">
        <v>9.0365061432001129E-3</v>
      </c>
    </row>
    <row r="44" spans="1:3" x14ac:dyDescent="0.35">
      <c r="A44" t="s">
        <v>37</v>
      </c>
      <c r="B44" s="1" t="s">
        <v>23</v>
      </c>
      <c r="C44" s="5">
        <v>0</v>
      </c>
    </row>
    <row r="45" spans="1:3" x14ac:dyDescent="0.35">
      <c r="A45" t="s">
        <v>45</v>
      </c>
      <c r="B45" s="1" t="s">
        <v>23</v>
      </c>
      <c r="C45" s="5">
        <v>0</v>
      </c>
    </row>
    <row r="46" spans="1:3" x14ac:dyDescent="0.35">
      <c r="A46" t="s">
        <v>37</v>
      </c>
      <c r="B46" s="1" t="s">
        <v>24</v>
      </c>
      <c r="C46" s="5">
        <v>1.4999999999999999E-2</v>
      </c>
    </row>
    <row r="47" spans="1:3" x14ac:dyDescent="0.35">
      <c r="A47" t="s">
        <v>45</v>
      </c>
      <c r="B47" s="1" t="s">
        <v>24</v>
      </c>
      <c r="C47" s="5">
        <v>5.0000000000000001E-3</v>
      </c>
    </row>
    <row r="48" spans="1:3" x14ac:dyDescent="0.35">
      <c r="A48" t="s">
        <v>37</v>
      </c>
      <c r="B48" s="1" t="s">
        <v>74</v>
      </c>
      <c r="C48" s="5">
        <f>0.5%</f>
        <v>5.0000000000000001E-3</v>
      </c>
    </row>
    <row r="49" spans="1:3" x14ac:dyDescent="0.35">
      <c r="A49" t="s">
        <v>37</v>
      </c>
      <c r="B49" s="1" t="s">
        <v>25</v>
      </c>
      <c r="C49" s="5">
        <v>1.5000000000000048E-2</v>
      </c>
    </row>
    <row r="50" spans="1:3" x14ac:dyDescent="0.35">
      <c r="A50" t="s">
        <v>37</v>
      </c>
      <c r="B50" s="1" t="s">
        <v>26</v>
      </c>
      <c r="C50" s="5">
        <v>1.3000000000000001E-2</v>
      </c>
    </row>
    <row r="51" spans="1:3" x14ac:dyDescent="0.35">
      <c r="A51" t="s">
        <v>37</v>
      </c>
      <c r="B51" s="1" t="s">
        <v>27</v>
      </c>
      <c r="C51" s="5">
        <v>1.5000000000000001E-2</v>
      </c>
    </row>
    <row r="52" spans="1:3" x14ac:dyDescent="0.35">
      <c r="A52" t="s">
        <v>45</v>
      </c>
      <c r="B52" s="1" t="s">
        <v>27</v>
      </c>
      <c r="C52" s="5">
        <v>9.9751243781094519E-3</v>
      </c>
    </row>
    <row r="53" spans="1:3" x14ac:dyDescent="0.35">
      <c r="A53" t="s">
        <v>37</v>
      </c>
      <c r="B53" s="1" t="s">
        <v>28</v>
      </c>
      <c r="C53" s="5">
        <v>4.4999999999999991E-2</v>
      </c>
    </row>
    <row r="54" spans="1:3" x14ac:dyDescent="0.35">
      <c r="A54" t="s">
        <v>37</v>
      </c>
      <c r="B54" s="1" t="s">
        <v>29</v>
      </c>
      <c r="C54" s="5">
        <v>1.4999999999999999E-2</v>
      </c>
    </row>
    <row r="55" spans="1:3" x14ac:dyDescent="0.35">
      <c r="A55" t="s">
        <v>45</v>
      </c>
      <c r="B55" s="1" t="s">
        <v>29</v>
      </c>
      <c r="C55" s="5">
        <v>5.0000000000000001E-3</v>
      </c>
    </row>
    <row r="56" spans="1:3" x14ac:dyDescent="0.35">
      <c r="A56" t="s">
        <v>37</v>
      </c>
      <c r="B56" s="1" t="s">
        <v>30</v>
      </c>
      <c r="C56" s="5">
        <v>1.999999999999999E-2</v>
      </c>
    </row>
    <row r="57" spans="1:3" x14ac:dyDescent="0.35">
      <c r="A57" t="s">
        <v>45</v>
      </c>
      <c r="B57" s="1" t="s">
        <v>30</v>
      </c>
      <c r="C57" s="5">
        <f>0.55%</f>
        <v>5.5000000000000005E-3</v>
      </c>
    </row>
    <row r="58" spans="1:3" x14ac:dyDescent="0.35">
      <c r="A58" t="s">
        <v>37</v>
      </c>
      <c r="B58" s="1" t="s">
        <v>31</v>
      </c>
      <c r="C58" s="5">
        <v>1.4999999999999999E-2</v>
      </c>
    </row>
    <row r="59" spans="1:3" x14ac:dyDescent="0.35">
      <c r="A59" t="s">
        <v>37</v>
      </c>
      <c r="B59" s="1" t="s">
        <v>32</v>
      </c>
      <c r="C59" s="5">
        <v>1.4999999999999999E-2</v>
      </c>
    </row>
    <row r="60" spans="1:3" x14ac:dyDescent="0.35">
      <c r="A60" t="s">
        <v>37</v>
      </c>
      <c r="B60" s="1" t="s">
        <v>33</v>
      </c>
      <c r="C60" s="5">
        <f>1.5%</f>
        <v>1.4999999999999999E-2</v>
      </c>
    </row>
    <row r="61" spans="1:3" x14ac:dyDescent="0.35">
      <c r="A61" t="s">
        <v>37</v>
      </c>
      <c r="B61" s="1" t="s">
        <v>34</v>
      </c>
      <c r="C61" s="5">
        <v>1.7500000000000002E-2</v>
      </c>
    </row>
    <row r="62" spans="1:3" x14ac:dyDescent="0.35">
      <c r="A62" t="s">
        <v>45</v>
      </c>
      <c r="B62" s="1" t="s">
        <v>34</v>
      </c>
      <c r="C62" s="5">
        <v>2.9999999999999992E-3</v>
      </c>
    </row>
    <row r="63" spans="1:3" x14ac:dyDescent="0.35">
      <c r="A63" t="s">
        <v>37</v>
      </c>
      <c r="B63" s="1" t="s">
        <v>35</v>
      </c>
      <c r="C63" s="5">
        <v>0.02</v>
      </c>
    </row>
    <row r="64" spans="1:3" x14ac:dyDescent="0.35">
      <c r="A64" t="s">
        <v>37</v>
      </c>
      <c r="B64" s="1" t="s">
        <v>68</v>
      </c>
      <c r="C64" s="5">
        <f>1.75%</f>
        <v>1.7500000000000002E-2</v>
      </c>
    </row>
    <row r="65" spans="1:3" x14ac:dyDescent="0.35">
      <c r="A65" t="s">
        <v>37</v>
      </c>
      <c r="B65" s="1" t="s">
        <v>36</v>
      </c>
      <c r="C65" s="5">
        <v>1.8499999999999978E-2</v>
      </c>
    </row>
    <row r="66" spans="1:3" x14ac:dyDescent="0.35">
      <c r="A66" t="s">
        <v>45</v>
      </c>
      <c r="B66" s="1" t="s">
        <v>36</v>
      </c>
      <c r="C66" s="5">
        <v>0</v>
      </c>
    </row>
    <row r="67" spans="1:3" x14ac:dyDescent="0.35">
      <c r="A67" t="s">
        <v>45</v>
      </c>
      <c r="B67" s="1" t="s">
        <v>31</v>
      </c>
      <c r="C67" s="5">
        <f>0.5%</f>
        <v>5.0000000000000001E-3</v>
      </c>
    </row>
    <row r="68" spans="1:3" x14ac:dyDescent="0.35">
      <c r="A68" t="s">
        <v>37</v>
      </c>
      <c r="B68" s="1" t="s">
        <v>68</v>
      </c>
      <c r="C68" s="5">
        <f>0.05%</f>
        <v>5.0000000000000001E-4</v>
      </c>
    </row>
  </sheetData>
  <autoFilter ref="A1:C56" xr:uid="{00000000-0001-0000-0000-000000000000}">
    <sortState xmlns:xlrd2="http://schemas.microsoft.com/office/spreadsheetml/2017/richdata2" ref="A2:C66">
      <sortCondition ref="B1:B5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F2EE-20C8-4007-9162-1575F35762BB}">
  <dimension ref="A1:H68"/>
  <sheetViews>
    <sheetView tabSelected="1" workbookViewId="0">
      <selection activeCell="B8" sqref="B8"/>
    </sheetView>
  </sheetViews>
  <sheetFormatPr defaultRowHeight="14.5" x14ac:dyDescent="0.35"/>
  <cols>
    <col min="1" max="1" width="12.453125" bestFit="1" customWidth="1"/>
    <col min="2" max="2" width="42.90625" bestFit="1" customWidth="1"/>
    <col min="3" max="3" width="5.1796875" bestFit="1" customWidth="1"/>
    <col min="4" max="4" width="8.36328125" bestFit="1" customWidth="1"/>
    <col min="5" max="5" width="9.1796875" bestFit="1" customWidth="1"/>
    <col min="6" max="6" width="11.7265625" style="5" bestFit="1" customWidth="1"/>
    <col min="7" max="7" width="12.36328125" bestFit="1" customWidth="1"/>
    <col min="8" max="8" width="11.7265625" style="6" bestFit="1" customWidth="1"/>
  </cols>
  <sheetData>
    <row r="1" spans="1:8" x14ac:dyDescent="0.35">
      <c r="A1" t="s">
        <v>1</v>
      </c>
      <c r="B1" t="s">
        <v>0</v>
      </c>
      <c r="C1" t="s">
        <v>71</v>
      </c>
      <c r="D1" t="s">
        <v>75</v>
      </c>
      <c r="E1" t="s">
        <v>76</v>
      </c>
      <c r="F1" t="s">
        <v>77</v>
      </c>
      <c r="G1" t="s">
        <v>78</v>
      </c>
      <c r="H1" s="6" t="s">
        <v>80</v>
      </c>
    </row>
    <row r="2" spans="1:8" x14ac:dyDescent="0.35">
      <c r="A2" t="s">
        <v>37</v>
      </c>
      <c r="B2" s="1" t="s">
        <v>67</v>
      </c>
      <c r="C2" s="1" t="s">
        <v>79</v>
      </c>
      <c r="D2" s="1">
        <v>1</v>
      </c>
      <c r="E2" s="1">
        <v>9999999</v>
      </c>
      <c r="F2" s="5">
        <v>0.02</v>
      </c>
      <c r="G2" t="b">
        <v>1</v>
      </c>
      <c r="H2" s="7">
        <v>0</v>
      </c>
    </row>
    <row r="3" spans="1:8" x14ac:dyDescent="0.35">
      <c r="A3" t="s">
        <v>45</v>
      </c>
      <c r="B3" s="1" t="s">
        <v>38</v>
      </c>
      <c r="C3" s="1"/>
      <c r="D3" s="1"/>
      <c r="E3" s="1"/>
      <c r="F3" s="5">
        <f>0.5%</f>
        <v>5.0000000000000001E-3</v>
      </c>
    </row>
    <row r="4" spans="1:8" x14ac:dyDescent="0.35">
      <c r="A4" t="s">
        <v>37</v>
      </c>
      <c r="B4" s="1" t="s">
        <v>3</v>
      </c>
      <c r="C4" s="1"/>
      <c r="D4" s="1"/>
      <c r="E4" s="1"/>
      <c r="F4" s="5">
        <v>0.05</v>
      </c>
    </row>
    <row r="5" spans="1:8" x14ac:dyDescent="0.35">
      <c r="A5" t="s">
        <v>45</v>
      </c>
      <c r="B5" s="1" t="s">
        <v>39</v>
      </c>
      <c r="C5" s="1"/>
      <c r="D5" s="1"/>
      <c r="E5" s="1"/>
      <c r="F5" s="5">
        <v>5.000000000000001E-3</v>
      </c>
    </row>
    <row r="6" spans="1:8" x14ac:dyDescent="0.35">
      <c r="A6" t="s">
        <v>37</v>
      </c>
      <c r="B6" s="1" t="s">
        <v>4</v>
      </c>
      <c r="C6" s="1"/>
      <c r="D6" s="1"/>
      <c r="E6" s="1"/>
      <c r="F6" s="5">
        <v>1.4999999999999998E-2</v>
      </c>
    </row>
    <row r="7" spans="1:8" x14ac:dyDescent="0.35">
      <c r="A7" t="s">
        <v>37</v>
      </c>
      <c r="B7" s="1" t="s">
        <v>66</v>
      </c>
      <c r="C7" s="1"/>
      <c r="D7" s="1"/>
      <c r="E7" s="1"/>
      <c r="F7" s="5">
        <f>1.5%</f>
        <v>1.4999999999999999E-2</v>
      </c>
    </row>
    <row r="8" spans="1:8" x14ac:dyDescent="0.35">
      <c r="A8" t="s">
        <v>45</v>
      </c>
      <c r="B8" s="1" t="s">
        <v>66</v>
      </c>
      <c r="C8" s="1"/>
      <c r="D8" s="1"/>
      <c r="E8" s="1"/>
      <c r="F8" s="5">
        <f>1%</f>
        <v>0.01</v>
      </c>
    </row>
    <row r="9" spans="1:8" x14ac:dyDescent="0.35">
      <c r="A9" t="s">
        <v>37</v>
      </c>
      <c r="B9" s="1" t="s">
        <v>5</v>
      </c>
      <c r="C9" s="1"/>
      <c r="D9" s="1"/>
      <c r="E9" s="1"/>
      <c r="F9" s="5">
        <v>1.5000000000000005E-2</v>
      </c>
    </row>
    <row r="10" spans="1:8" x14ac:dyDescent="0.35">
      <c r="A10" t="s">
        <v>37</v>
      </c>
      <c r="B10" s="1" t="s">
        <v>6</v>
      </c>
      <c r="C10" s="1"/>
      <c r="D10" s="1"/>
      <c r="E10" s="1"/>
      <c r="F10" s="5">
        <v>1.5000000000000003E-2</v>
      </c>
    </row>
    <row r="11" spans="1:8" x14ac:dyDescent="0.35">
      <c r="A11" t="s">
        <v>37</v>
      </c>
      <c r="B11" s="1" t="s">
        <v>72</v>
      </c>
      <c r="C11" s="1"/>
      <c r="D11" s="1"/>
      <c r="E11" s="1"/>
      <c r="F11" s="5">
        <f>1.5%</f>
        <v>1.4999999999999999E-2</v>
      </c>
    </row>
    <row r="12" spans="1:8" x14ac:dyDescent="0.35">
      <c r="A12" t="s">
        <v>45</v>
      </c>
      <c r="B12" s="1" t="s">
        <v>72</v>
      </c>
      <c r="C12" s="1"/>
      <c r="D12" s="1"/>
      <c r="E12" s="1"/>
      <c r="F12" s="5">
        <f>1%</f>
        <v>0.01</v>
      </c>
    </row>
    <row r="13" spans="1:8" x14ac:dyDescent="0.35">
      <c r="A13" t="s">
        <v>37</v>
      </c>
      <c r="B13" s="1" t="s">
        <v>7</v>
      </c>
      <c r="C13" s="1"/>
      <c r="D13" s="1"/>
      <c r="E13" s="1"/>
      <c r="F13" s="5">
        <v>1.4999999999999999E-2</v>
      </c>
    </row>
    <row r="14" spans="1:8" x14ac:dyDescent="0.35">
      <c r="A14" t="s">
        <v>37</v>
      </c>
      <c r="B14" s="1" t="s">
        <v>69</v>
      </c>
      <c r="C14" s="1"/>
      <c r="D14" s="1"/>
      <c r="E14" s="1"/>
      <c r="F14" s="5">
        <v>0.02</v>
      </c>
    </row>
    <row r="15" spans="1:8" x14ac:dyDescent="0.35">
      <c r="A15" t="s">
        <v>45</v>
      </c>
      <c r="B15" s="1" t="s">
        <v>40</v>
      </c>
      <c r="C15" s="1"/>
      <c r="D15" s="1"/>
      <c r="E15" s="1"/>
      <c r="F15" s="5">
        <f>1.5%</f>
        <v>1.4999999999999999E-2</v>
      </c>
    </row>
    <row r="16" spans="1:8" x14ac:dyDescent="0.35">
      <c r="A16" t="s">
        <v>45</v>
      </c>
      <c r="B16" s="1" t="s">
        <v>41</v>
      </c>
      <c r="C16" s="1"/>
      <c r="D16" s="1"/>
      <c r="E16" s="1"/>
      <c r="F16" s="5">
        <v>3.0919741680237212E-3</v>
      </c>
    </row>
    <row r="17" spans="1:6" x14ac:dyDescent="0.35">
      <c r="A17" t="s">
        <v>37</v>
      </c>
      <c r="B17" s="1" t="s">
        <v>8</v>
      </c>
      <c r="C17" s="1"/>
      <c r="D17" s="1"/>
      <c r="E17" s="1"/>
      <c r="F17" s="5">
        <v>1.4999999999999999E-2</v>
      </c>
    </row>
    <row r="18" spans="1:6" x14ac:dyDescent="0.35">
      <c r="A18" t="s">
        <v>37</v>
      </c>
      <c r="B18" s="1" t="s">
        <v>9</v>
      </c>
      <c r="C18" s="1"/>
      <c r="D18" s="1"/>
      <c r="E18" s="1"/>
      <c r="F18" s="5">
        <v>9.9999999999999985E-3</v>
      </c>
    </row>
    <row r="19" spans="1:6" x14ac:dyDescent="0.35">
      <c r="A19" t="s">
        <v>45</v>
      </c>
      <c r="B19" s="1" t="s">
        <v>9</v>
      </c>
      <c r="C19" s="1"/>
      <c r="D19" s="1"/>
      <c r="E19" s="1"/>
      <c r="F19" s="5">
        <v>3.3075860458781641E-3</v>
      </c>
    </row>
    <row r="20" spans="1:6" x14ac:dyDescent="0.35">
      <c r="A20" t="s">
        <v>46</v>
      </c>
      <c r="B20" s="1" t="s">
        <v>9</v>
      </c>
      <c r="C20" s="1"/>
      <c r="D20" s="1"/>
      <c r="E20" s="1"/>
      <c r="F20" s="5">
        <v>0.19421428571428576</v>
      </c>
    </row>
    <row r="21" spans="1:6" x14ac:dyDescent="0.35">
      <c r="A21" t="s">
        <v>37</v>
      </c>
      <c r="B21" s="1" t="s">
        <v>10</v>
      </c>
      <c r="C21" s="1"/>
      <c r="D21" s="1"/>
      <c r="E21" s="1"/>
      <c r="F21" s="5">
        <v>1.7999999999999999E-2</v>
      </c>
    </row>
    <row r="22" spans="1:6" x14ac:dyDescent="0.35">
      <c r="A22" t="s">
        <v>37</v>
      </c>
      <c r="B22" s="1" t="s">
        <v>11</v>
      </c>
      <c r="C22" s="1"/>
      <c r="D22" s="1"/>
      <c r="E22" s="1"/>
      <c r="F22" s="5">
        <v>0.01</v>
      </c>
    </row>
    <row r="23" spans="1:6" x14ac:dyDescent="0.35">
      <c r="A23" t="s">
        <v>45</v>
      </c>
      <c r="B23" s="1" t="s">
        <v>11</v>
      </c>
      <c r="C23" s="1"/>
      <c r="D23" s="1"/>
      <c r="E23" s="1"/>
      <c r="F23" s="5">
        <v>4.9999999999999992E-3</v>
      </c>
    </row>
    <row r="24" spans="1:6" x14ac:dyDescent="0.35">
      <c r="A24" t="s">
        <v>37</v>
      </c>
      <c r="B24" s="1" t="s">
        <v>12</v>
      </c>
      <c r="C24" s="1"/>
      <c r="D24" s="1"/>
      <c r="E24" s="1"/>
      <c r="F24" s="5">
        <v>1.1999999999999999E-2</v>
      </c>
    </row>
    <row r="25" spans="1:6" x14ac:dyDescent="0.35">
      <c r="A25" t="s">
        <v>45</v>
      </c>
      <c r="B25" s="1" t="s">
        <v>12</v>
      </c>
      <c r="C25" s="1"/>
      <c r="D25" s="1"/>
      <c r="E25" s="1"/>
      <c r="F25" s="5">
        <v>5.000000000000001E-3</v>
      </c>
    </row>
    <row r="26" spans="1:6" x14ac:dyDescent="0.35">
      <c r="A26" t="s">
        <v>37</v>
      </c>
      <c r="B26" s="1" t="s">
        <v>13</v>
      </c>
      <c r="C26" s="1"/>
      <c r="D26" s="1"/>
      <c r="E26" s="1"/>
      <c r="F26" s="5">
        <v>1.0000000000000963E-2</v>
      </c>
    </row>
    <row r="27" spans="1:6" x14ac:dyDescent="0.35">
      <c r="A27" t="s">
        <v>37</v>
      </c>
      <c r="B27" s="1" t="s">
        <v>14</v>
      </c>
      <c r="C27" s="1"/>
      <c r="D27" s="1"/>
      <c r="E27" s="1"/>
      <c r="F27" s="5">
        <v>1.7999999999999947E-2</v>
      </c>
    </row>
    <row r="28" spans="1:6" x14ac:dyDescent="0.35">
      <c r="A28" t="s">
        <v>45</v>
      </c>
      <c r="B28" s="1" t="s">
        <v>14</v>
      </c>
      <c r="C28" s="1"/>
      <c r="D28" s="1"/>
      <c r="E28" s="1"/>
      <c r="F28" s="5">
        <v>4.0000000000000002E-4</v>
      </c>
    </row>
    <row r="29" spans="1:6" x14ac:dyDescent="0.35">
      <c r="A29" t="s">
        <v>37</v>
      </c>
      <c r="B29" s="1" t="s">
        <v>73</v>
      </c>
      <c r="C29" s="1"/>
      <c r="D29" s="1"/>
      <c r="E29" s="1"/>
      <c r="F29" s="5">
        <f>1.5%</f>
        <v>1.4999999999999999E-2</v>
      </c>
    </row>
    <row r="30" spans="1:6" x14ac:dyDescent="0.35">
      <c r="A30" t="s">
        <v>37</v>
      </c>
      <c r="B30" s="1" t="s">
        <v>15</v>
      </c>
      <c r="C30" s="1"/>
      <c r="D30" s="1"/>
      <c r="E30" s="1"/>
      <c r="F30" s="5">
        <v>1.2499999999999999E-2</v>
      </c>
    </row>
    <row r="31" spans="1:6" x14ac:dyDescent="0.35">
      <c r="A31" t="s">
        <v>45</v>
      </c>
      <c r="B31" s="1" t="s">
        <v>42</v>
      </c>
      <c r="C31" s="1"/>
      <c r="D31" s="1"/>
      <c r="E31" s="1"/>
      <c r="F31" s="5">
        <v>5.0000000000000001E-3</v>
      </c>
    </row>
    <row r="32" spans="1:6" x14ac:dyDescent="0.35">
      <c r="A32" t="s">
        <v>37</v>
      </c>
      <c r="B32" s="1" t="s">
        <v>42</v>
      </c>
      <c r="C32" s="1"/>
      <c r="D32" s="1"/>
      <c r="E32" s="1"/>
      <c r="F32" s="5">
        <f>1.5%</f>
        <v>1.4999999999999999E-2</v>
      </c>
    </row>
    <row r="33" spans="1:6" x14ac:dyDescent="0.35">
      <c r="A33" t="s">
        <v>37</v>
      </c>
      <c r="B33" s="1" t="s">
        <v>16</v>
      </c>
      <c r="C33" s="1"/>
      <c r="D33" s="1"/>
      <c r="E33" s="1"/>
      <c r="F33" s="5">
        <v>1.4999999999999999E-2</v>
      </c>
    </row>
    <row r="34" spans="1:6" x14ac:dyDescent="0.35">
      <c r="A34" t="s">
        <v>46</v>
      </c>
      <c r="B34" s="1" t="s">
        <v>16</v>
      </c>
      <c r="C34" s="1"/>
      <c r="D34" s="1"/>
      <c r="E34" s="1"/>
      <c r="F34" s="5">
        <v>1.4999999999999999E-2</v>
      </c>
    </row>
    <row r="35" spans="1:6" x14ac:dyDescent="0.35">
      <c r="A35" t="s">
        <v>37</v>
      </c>
      <c r="B35" s="1" t="s">
        <v>65</v>
      </c>
      <c r="C35" s="1"/>
      <c r="D35" s="1"/>
      <c r="E35" s="1"/>
      <c r="F35" s="5">
        <v>1.4999999999999999E-2</v>
      </c>
    </row>
    <row r="36" spans="1:6" x14ac:dyDescent="0.35">
      <c r="A36" t="s">
        <v>37</v>
      </c>
      <c r="B36" s="1" t="s">
        <v>17</v>
      </c>
      <c r="C36" s="1"/>
      <c r="D36" s="1"/>
      <c r="E36" s="1"/>
      <c r="F36" s="5">
        <v>2.0000000000000011E-2</v>
      </c>
    </row>
    <row r="37" spans="1:6" x14ac:dyDescent="0.35">
      <c r="A37" t="s">
        <v>45</v>
      </c>
      <c r="B37" s="1" t="s">
        <v>43</v>
      </c>
      <c r="C37" s="1"/>
      <c r="D37" s="1"/>
      <c r="E37" s="1"/>
      <c r="F37" s="5">
        <v>4.3165203929834859E-3</v>
      </c>
    </row>
    <row r="38" spans="1:6" x14ac:dyDescent="0.35">
      <c r="A38" t="s">
        <v>37</v>
      </c>
      <c r="B38" s="1" t="s">
        <v>18</v>
      </c>
      <c r="C38" s="1"/>
      <c r="D38" s="1"/>
      <c r="E38" s="1"/>
      <c r="F38" s="5">
        <f>1.85%</f>
        <v>1.8500000000000003E-2</v>
      </c>
    </row>
    <row r="39" spans="1:6" x14ac:dyDescent="0.35">
      <c r="A39" t="s">
        <v>37</v>
      </c>
      <c r="B39" s="1" t="s">
        <v>19</v>
      </c>
      <c r="C39" s="1"/>
      <c r="D39" s="1"/>
      <c r="E39" s="1"/>
      <c r="F39" s="5">
        <v>1.499999999999998E-2</v>
      </c>
    </row>
    <row r="40" spans="1:6" x14ac:dyDescent="0.35">
      <c r="A40" t="s">
        <v>37</v>
      </c>
      <c r="B40" s="1" t="s">
        <v>20</v>
      </c>
      <c r="C40" s="1"/>
      <c r="D40" s="1"/>
      <c r="E40" s="1"/>
      <c r="F40" s="5">
        <v>1.4999999999999999E-2</v>
      </c>
    </row>
    <row r="41" spans="1:6" x14ac:dyDescent="0.35">
      <c r="A41" t="s">
        <v>37</v>
      </c>
      <c r="B41" s="1" t="s">
        <v>21</v>
      </c>
      <c r="C41" s="1"/>
      <c r="D41" s="1"/>
      <c r="E41" s="1"/>
      <c r="F41" s="5">
        <v>1.499999999999998E-2</v>
      </c>
    </row>
    <row r="42" spans="1:6" x14ac:dyDescent="0.35">
      <c r="A42" t="s">
        <v>45</v>
      </c>
      <c r="B42" s="1" t="s">
        <v>44</v>
      </c>
      <c r="C42" s="1"/>
      <c r="D42" s="1"/>
      <c r="E42" s="1"/>
      <c r="F42" s="5">
        <v>9.0244562765093403E-4</v>
      </c>
    </row>
    <row r="43" spans="1:6" x14ac:dyDescent="0.35">
      <c r="A43" t="s">
        <v>37</v>
      </c>
      <c r="B43" s="1" t="s">
        <v>22</v>
      </c>
      <c r="C43" s="1"/>
      <c r="D43" s="1"/>
      <c r="E43" s="1"/>
      <c r="F43" s="5">
        <v>9.0365061432001129E-3</v>
      </c>
    </row>
    <row r="44" spans="1:6" x14ac:dyDescent="0.35">
      <c r="A44" t="s">
        <v>37</v>
      </c>
      <c r="B44" s="1" t="s">
        <v>23</v>
      </c>
      <c r="C44" s="1"/>
      <c r="D44" s="1"/>
      <c r="E44" s="1"/>
      <c r="F44" s="5">
        <v>0</v>
      </c>
    </row>
    <row r="45" spans="1:6" x14ac:dyDescent="0.35">
      <c r="A45" t="s">
        <v>45</v>
      </c>
      <c r="B45" s="1" t="s">
        <v>23</v>
      </c>
      <c r="C45" s="1"/>
      <c r="D45" s="1"/>
      <c r="E45" s="1"/>
      <c r="F45" s="5">
        <v>0</v>
      </c>
    </row>
    <row r="46" spans="1:6" x14ac:dyDescent="0.35">
      <c r="A46" t="s">
        <v>37</v>
      </c>
      <c r="B46" s="1" t="s">
        <v>24</v>
      </c>
      <c r="C46" s="1"/>
      <c r="D46" s="1"/>
      <c r="E46" s="1"/>
      <c r="F46" s="5">
        <v>1.4999999999999999E-2</v>
      </c>
    </row>
    <row r="47" spans="1:6" x14ac:dyDescent="0.35">
      <c r="A47" t="s">
        <v>45</v>
      </c>
      <c r="B47" s="1" t="s">
        <v>24</v>
      </c>
      <c r="C47" s="1"/>
      <c r="D47" s="1"/>
      <c r="E47" s="1"/>
      <c r="F47" s="5">
        <v>5.0000000000000001E-3</v>
      </c>
    </row>
    <row r="48" spans="1:6" x14ac:dyDescent="0.35">
      <c r="A48" t="s">
        <v>37</v>
      </c>
      <c r="B48" s="1" t="s">
        <v>74</v>
      </c>
      <c r="C48" s="1"/>
      <c r="D48" s="1"/>
      <c r="E48" s="1"/>
      <c r="F48" s="5">
        <f>0.5%</f>
        <v>5.0000000000000001E-3</v>
      </c>
    </row>
    <row r="49" spans="1:6" x14ac:dyDescent="0.35">
      <c r="A49" t="s">
        <v>37</v>
      </c>
      <c r="B49" s="1" t="s">
        <v>25</v>
      </c>
      <c r="C49" s="1"/>
      <c r="D49" s="1"/>
      <c r="E49" s="1"/>
      <c r="F49" s="5">
        <v>1.5000000000000048E-2</v>
      </c>
    </row>
    <row r="50" spans="1:6" x14ac:dyDescent="0.35">
      <c r="A50" t="s">
        <v>37</v>
      </c>
      <c r="B50" s="1" t="s">
        <v>26</v>
      </c>
      <c r="C50" s="1"/>
      <c r="D50" s="1"/>
      <c r="E50" s="1"/>
      <c r="F50" s="5">
        <v>1.3000000000000001E-2</v>
      </c>
    </row>
    <row r="51" spans="1:6" x14ac:dyDescent="0.35">
      <c r="A51" t="s">
        <v>37</v>
      </c>
      <c r="B51" s="1" t="s">
        <v>27</v>
      </c>
      <c r="C51" s="1"/>
      <c r="D51" s="1"/>
      <c r="E51" s="1"/>
      <c r="F51" s="5">
        <v>1.5000000000000001E-2</v>
      </c>
    </row>
    <row r="52" spans="1:6" x14ac:dyDescent="0.35">
      <c r="A52" t="s">
        <v>45</v>
      </c>
      <c r="B52" s="1" t="s">
        <v>27</v>
      </c>
      <c r="C52" s="1"/>
      <c r="D52" s="1"/>
      <c r="E52" s="1"/>
      <c r="F52" s="5">
        <v>9.9751243781094519E-3</v>
      </c>
    </row>
    <row r="53" spans="1:6" x14ac:dyDescent="0.35">
      <c r="A53" t="s">
        <v>37</v>
      </c>
      <c r="B53" s="1" t="s">
        <v>28</v>
      </c>
      <c r="C53" s="1"/>
      <c r="D53" s="1"/>
      <c r="E53" s="1"/>
      <c r="F53" s="5">
        <v>4.4999999999999991E-2</v>
      </c>
    </row>
    <row r="54" spans="1:6" x14ac:dyDescent="0.35">
      <c r="A54" t="s">
        <v>37</v>
      </c>
      <c r="B54" s="1" t="s">
        <v>29</v>
      </c>
      <c r="C54" s="1"/>
      <c r="D54" s="1"/>
      <c r="E54" s="1"/>
      <c r="F54" s="5">
        <v>1.4999999999999999E-2</v>
      </c>
    </row>
    <row r="55" spans="1:6" x14ac:dyDescent="0.35">
      <c r="A55" t="s">
        <v>45</v>
      </c>
      <c r="B55" s="1" t="s">
        <v>29</v>
      </c>
      <c r="C55" s="1"/>
      <c r="D55" s="1"/>
      <c r="E55" s="1"/>
      <c r="F55" s="5">
        <v>5.0000000000000001E-3</v>
      </c>
    </row>
    <row r="56" spans="1:6" x14ac:dyDescent="0.35">
      <c r="A56" t="s">
        <v>37</v>
      </c>
      <c r="B56" s="1" t="s">
        <v>30</v>
      </c>
      <c r="C56" s="1"/>
      <c r="D56" s="1"/>
      <c r="E56" s="1"/>
      <c r="F56" s="5">
        <v>1.999999999999999E-2</v>
      </c>
    </row>
    <row r="57" spans="1:6" x14ac:dyDescent="0.35">
      <c r="A57" t="s">
        <v>45</v>
      </c>
      <c r="B57" s="1" t="s">
        <v>30</v>
      </c>
      <c r="C57" s="1"/>
      <c r="D57" s="1"/>
      <c r="E57" s="1"/>
      <c r="F57" s="5">
        <f>0.55%</f>
        <v>5.5000000000000005E-3</v>
      </c>
    </row>
    <row r="58" spans="1:6" x14ac:dyDescent="0.35">
      <c r="A58" t="s">
        <v>37</v>
      </c>
      <c r="B58" s="1" t="s">
        <v>31</v>
      </c>
      <c r="C58" s="1"/>
      <c r="D58" s="1"/>
      <c r="E58" s="1"/>
      <c r="F58" s="5">
        <v>1.4999999999999999E-2</v>
      </c>
    </row>
    <row r="59" spans="1:6" x14ac:dyDescent="0.35">
      <c r="A59" t="s">
        <v>37</v>
      </c>
      <c r="B59" s="1" t="s">
        <v>32</v>
      </c>
      <c r="C59" s="1"/>
      <c r="D59" s="1"/>
      <c r="E59" s="1"/>
      <c r="F59" s="5">
        <v>1.4999999999999999E-2</v>
      </c>
    </row>
    <row r="60" spans="1:6" x14ac:dyDescent="0.35">
      <c r="A60" t="s">
        <v>37</v>
      </c>
      <c r="B60" s="1" t="s">
        <v>33</v>
      </c>
      <c r="C60" s="1"/>
      <c r="D60" s="1"/>
      <c r="E60" s="1"/>
      <c r="F60" s="5">
        <f>1.5%</f>
        <v>1.4999999999999999E-2</v>
      </c>
    </row>
    <row r="61" spans="1:6" x14ac:dyDescent="0.35">
      <c r="A61" t="s">
        <v>37</v>
      </c>
      <c r="B61" s="1" t="s">
        <v>34</v>
      </c>
      <c r="C61" s="1"/>
      <c r="D61" s="1"/>
      <c r="E61" s="1"/>
      <c r="F61" s="5">
        <v>1.7500000000000002E-2</v>
      </c>
    </row>
    <row r="62" spans="1:6" x14ac:dyDescent="0.35">
      <c r="A62" t="s">
        <v>45</v>
      </c>
      <c r="B62" s="1" t="s">
        <v>34</v>
      </c>
      <c r="C62" s="1"/>
      <c r="D62" s="1"/>
      <c r="E62" s="1"/>
      <c r="F62" s="5">
        <v>2.9999999999999992E-3</v>
      </c>
    </row>
    <row r="63" spans="1:6" x14ac:dyDescent="0.35">
      <c r="A63" t="s">
        <v>37</v>
      </c>
      <c r="B63" s="1" t="s">
        <v>35</v>
      </c>
      <c r="C63" s="1"/>
      <c r="D63" s="1"/>
      <c r="E63" s="1"/>
      <c r="F63" s="5">
        <v>0.02</v>
      </c>
    </row>
    <row r="64" spans="1:6" x14ac:dyDescent="0.35">
      <c r="A64" t="s">
        <v>37</v>
      </c>
      <c r="B64" s="1" t="s">
        <v>68</v>
      </c>
      <c r="C64" s="1"/>
      <c r="D64" s="1"/>
      <c r="E64" s="1"/>
      <c r="F64" s="5">
        <f>1.75%</f>
        <v>1.7500000000000002E-2</v>
      </c>
    </row>
    <row r="65" spans="1:6" x14ac:dyDescent="0.35">
      <c r="A65" t="s">
        <v>37</v>
      </c>
      <c r="B65" s="1" t="s">
        <v>36</v>
      </c>
      <c r="C65" s="1"/>
      <c r="D65" s="1"/>
      <c r="E65" s="1"/>
      <c r="F65" s="5">
        <v>1.8499999999999978E-2</v>
      </c>
    </row>
    <row r="66" spans="1:6" x14ac:dyDescent="0.35">
      <c r="A66" t="s">
        <v>45</v>
      </c>
      <c r="B66" s="1" t="s">
        <v>36</v>
      </c>
      <c r="C66" s="1"/>
      <c r="D66" s="1"/>
      <c r="E66" s="1"/>
      <c r="F66" s="5">
        <v>0</v>
      </c>
    </row>
    <row r="67" spans="1:6" x14ac:dyDescent="0.35">
      <c r="A67" t="s">
        <v>45</v>
      </c>
      <c r="B67" s="1" t="s">
        <v>31</v>
      </c>
      <c r="C67" s="1"/>
      <c r="D67" s="1"/>
      <c r="E67" s="1"/>
      <c r="F67" s="5">
        <f>0.5%</f>
        <v>5.0000000000000001E-3</v>
      </c>
    </row>
    <row r="68" spans="1:6" x14ac:dyDescent="0.35">
      <c r="A68" t="s">
        <v>37</v>
      </c>
      <c r="B68" s="1" t="s">
        <v>68</v>
      </c>
      <c r="C68" s="1"/>
      <c r="D68" s="1"/>
      <c r="E68" s="1"/>
      <c r="F68" s="5">
        <f>0.05%</f>
        <v>5.0000000000000001E-4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5731-E7FF-435C-A9B2-169479FA08B2}">
  <dimension ref="A1:C53"/>
  <sheetViews>
    <sheetView topLeftCell="A7" workbookViewId="0">
      <selection activeCell="B18" sqref="B18"/>
    </sheetView>
  </sheetViews>
  <sheetFormatPr defaultRowHeight="14.5" x14ac:dyDescent="0.35"/>
  <cols>
    <col min="1" max="1" width="15.1796875" bestFit="1" customWidth="1"/>
    <col min="2" max="2" width="27.36328125" bestFit="1" customWidth="1"/>
    <col min="3" max="3" width="7.36328125" style="3" bestFit="1" customWidth="1"/>
  </cols>
  <sheetData>
    <row r="1" spans="1:3" x14ac:dyDescent="0.35">
      <c r="A1" t="s">
        <v>1</v>
      </c>
      <c r="B1" t="s">
        <v>52</v>
      </c>
      <c r="C1" s="3" t="s">
        <v>2</v>
      </c>
    </row>
    <row r="2" spans="1:3" x14ac:dyDescent="0.35">
      <c r="A2" s="4" t="s">
        <v>47</v>
      </c>
      <c r="B2" s="1" t="s">
        <v>48</v>
      </c>
      <c r="C2" s="3">
        <v>7.5375117894195362E-2</v>
      </c>
    </row>
    <row r="3" spans="1:3" x14ac:dyDescent="0.35">
      <c r="A3" s="4" t="s">
        <v>47</v>
      </c>
      <c r="B3" s="1" t="s">
        <v>49</v>
      </c>
      <c r="C3" s="3">
        <v>4.7637500000000006E-2</v>
      </c>
    </row>
    <row r="4" spans="1:3" x14ac:dyDescent="0.35">
      <c r="A4" s="4" t="s">
        <v>47</v>
      </c>
      <c r="B4" s="1" t="s">
        <v>50</v>
      </c>
      <c r="C4" s="3">
        <v>6.5419285215514586E-2</v>
      </c>
    </row>
    <row r="5" spans="1:3" x14ac:dyDescent="0.35">
      <c r="A5" s="4" t="s">
        <v>47</v>
      </c>
      <c r="B5" s="1" t="s">
        <v>51</v>
      </c>
      <c r="C5" s="3">
        <v>0.06</v>
      </c>
    </row>
    <row r="6" spans="1:3" x14ac:dyDescent="0.35">
      <c r="A6" t="s">
        <v>53</v>
      </c>
      <c r="B6" s="1" t="s">
        <v>54</v>
      </c>
      <c r="C6" s="3">
        <v>7.0000000000000048E-2</v>
      </c>
    </row>
    <row r="7" spans="1:3" x14ac:dyDescent="0.35">
      <c r="A7" t="s">
        <v>53</v>
      </c>
      <c r="B7" s="1" t="s">
        <v>49</v>
      </c>
      <c r="C7" s="3">
        <v>4.7522388059701506E-2</v>
      </c>
    </row>
    <row r="8" spans="1:3" x14ac:dyDescent="0.35">
      <c r="A8" t="s">
        <v>53</v>
      </c>
      <c r="B8" s="1" t="s">
        <v>50</v>
      </c>
      <c r="C8" s="3">
        <v>6.5528756957328307E-2</v>
      </c>
    </row>
    <row r="9" spans="1:3" x14ac:dyDescent="0.35">
      <c r="A9" t="s">
        <v>53</v>
      </c>
      <c r="B9" s="1" t="s">
        <v>55</v>
      </c>
      <c r="C9" s="3">
        <v>0.06</v>
      </c>
    </row>
    <row r="10" spans="1:3" x14ac:dyDescent="0.35">
      <c r="A10" t="s">
        <v>56</v>
      </c>
      <c r="B10" s="1" t="s">
        <v>57</v>
      </c>
      <c r="C10" s="3">
        <v>4.4117647058823532E-2</v>
      </c>
    </row>
    <row r="11" spans="1:3" x14ac:dyDescent="0.35">
      <c r="A11" t="s">
        <v>56</v>
      </c>
      <c r="B11" s="1" t="s">
        <v>58</v>
      </c>
      <c r="C11" s="3">
        <v>1.6308849689710896E-2</v>
      </c>
    </row>
    <row r="12" spans="1:3" x14ac:dyDescent="0.35">
      <c r="A12" t="s">
        <v>56</v>
      </c>
      <c r="B12" s="1" t="s">
        <v>59</v>
      </c>
      <c r="C12" s="3">
        <v>1.8488929468157955E-2</v>
      </c>
    </row>
    <row r="13" spans="1:3" x14ac:dyDescent="0.35">
      <c r="A13" t="s">
        <v>56</v>
      </c>
      <c r="B13" s="1" t="s">
        <v>60</v>
      </c>
      <c r="C13" s="3">
        <v>1.7273856759248127E-2</v>
      </c>
    </row>
    <row r="14" spans="1:3" x14ac:dyDescent="0.35">
      <c r="A14" t="s">
        <v>56</v>
      </c>
      <c r="B14" s="1" t="s">
        <v>61</v>
      </c>
      <c r="C14" s="3">
        <v>1.4972419227738376E-2</v>
      </c>
    </row>
    <row r="15" spans="1:3" x14ac:dyDescent="0.35">
      <c r="A15" t="s">
        <v>62</v>
      </c>
      <c r="B15" s="1" t="s">
        <v>63</v>
      </c>
      <c r="C15" s="3">
        <v>1.9002214710339201E-2</v>
      </c>
    </row>
    <row r="16" spans="1:3" x14ac:dyDescent="0.35">
      <c r="A16" t="s">
        <v>62</v>
      </c>
      <c r="B16" s="1" t="s">
        <v>64</v>
      </c>
      <c r="C16" s="3">
        <v>2.9820293494467551E-2</v>
      </c>
    </row>
    <row r="17" spans="1:3" x14ac:dyDescent="0.35">
      <c r="A17" t="s">
        <v>62</v>
      </c>
      <c r="B17" s="1" t="s">
        <v>70</v>
      </c>
      <c r="C17" s="3">
        <v>1.7066593849199577E-2</v>
      </c>
    </row>
    <row r="18" spans="1:3" x14ac:dyDescent="0.35">
      <c r="B18" s="1"/>
    </row>
    <row r="19" spans="1:3" x14ac:dyDescent="0.35">
      <c r="B19" s="1"/>
    </row>
    <row r="20" spans="1:3" x14ac:dyDescent="0.35">
      <c r="B20" s="1"/>
    </row>
    <row r="21" spans="1:3" x14ac:dyDescent="0.35">
      <c r="B21" s="1"/>
    </row>
    <row r="22" spans="1:3" x14ac:dyDescent="0.35">
      <c r="B22" s="1"/>
    </row>
    <row r="23" spans="1:3" x14ac:dyDescent="0.35">
      <c r="B23" s="1"/>
    </row>
    <row r="24" spans="1:3" x14ac:dyDescent="0.35">
      <c r="B24" s="1"/>
    </row>
    <row r="25" spans="1:3" x14ac:dyDescent="0.35">
      <c r="B25" s="1"/>
    </row>
    <row r="26" spans="1:3" x14ac:dyDescent="0.35">
      <c r="B26" s="1"/>
    </row>
    <row r="27" spans="1:3" x14ac:dyDescent="0.35">
      <c r="B27" s="1"/>
    </row>
    <row r="28" spans="1:3" x14ac:dyDescent="0.35">
      <c r="B28" s="1"/>
    </row>
    <row r="29" spans="1:3" x14ac:dyDescent="0.35">
      <c r="B29" s="1"/>
    </row>
    <row r="30" spans="1:3" x14ac:dyDescent="0.35">
      <c r="B30" s="1"/>
    </row>
    <row r="31" spans="1:3" x14ac:dyDescent="0.35">
      <c r="B31" s="1"/>
    </row>
    <row r="32" spans="1:3" x14ac:dyDescent="0.35">
      <c r="B32" s="1"/>
    </row>
    <row r="33" spans="2:2" x14ac:dyDescent="0.35">
      <c r="B33" s="1"/>
    </row>
    <row r="34" spans="2:2" x14ac:dyDescent="0.35">
      <c r="B34" s="1"/>
    </row>
    <row r="35" spans="2:2" x14ac:dyDescent="0.35">
      <c r="B35" s="1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  <row r="39" spans="2:2" x14ac:dyDescent="0.35">
      <c r="B39" s="1"/>
    </row>
    <row r="40" spans="2:2" x14ac:dyDescent="0.35">
      <c r="B40" s="1"/>
    </row>
    <row r="41" spans="2:2" x14ac:dyDescent="0.35">
      <c r="B41" s="1"/>
    </row>
    <row r="42" spans="2:2" x14ac:dyDescent="0.35">
      <c r="B42" s="1"/>
    </row>
    <row r="43" spans="2:2" x14ac:dyDescent="0.35">
      <c r="B43" s="1"/>
    </row>
    <row r="44" spans="2:2" x14ac:dyDescent="0.35">
      <c r="B44" s="1"/>
    </row>
    <row r="45" spans="2:2" x14ac:dyDescent="0.35">
      <c r="B45" s="1"/>
    </row>
    <row r="46" spans="2:2" x14ac:dyDescent="0.35">
      <c r="B46" s="1"/>
    </row>
    <row r="47" spans="2:2" x14ac:dyDescent="0.35">
      <c r="B47" s="1"/>
    </row>
    <row r="48" spans="2:2" x14ac:dyDescent="0.35">
      <c r="B48" s="1"/>
    </row>
    <row r="49" spans="2:2" x14ac:dyDescent="0.35">
      <c r="B49" s="1"/>
    </row>
    <row r="50" spans="2:2" x14ac:dyDescent="0.35">
      <c r="B50" s="1"/>
    </row>
    <row r="51" spans="2:2" x14ac:dyDescent="0.35">
      <c r="B51" s="1"/>
    </row>
    <row r="52" spans="2:2" x14ac:dyDescent="0.35">
      <c r="B52" s="1"/>
    </row>
    <row r="53" spans="2:2" x14ac:dyDescent="0.35">
      <c r="B5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BF6E-F7B9-466C-B37D-4BDA5D3DB5E8}">
  <dimension ref="A1:C48"/>
  <sheetViews>
    <sheetView workbookViewId="0">
      <selection activeCell="D9" sqref="D9"/>
    </sheetView>
  </sheetViews>
  <sheetFormatPr defaultRowHeight="14.5" x14ac:dyDescent="0.35"/>
  <cols>
    <col min="1" max="1" width="15.1796875" bestFit="1" customWidth="1"/>
    <col min="2" max="2" width="27.36328125" bestFit="1" customWidth="1"/>
    <col min="3" max="3" width="7.81640625" style="3" bestFit="1" customWidth="1"/>
  </cols>
  <sheetData>
    <row r="1" spans="1:3" x14ac:dyDescent="0.35">
      <c r="A1" t="s">
        <v>1</v>
      </c>
      <c r="B1" t="s">
        <v>52</v>
      </c>
      <c r="C1" s="3" t="s">
        <v>2</v>
      </c>
    </row>
    <row r="2" spans="1:3" x14ac:dyDescent="0.35">
      <c r="A2" s="4" t="s">
        <v>47</v>
      </c>
      <c r="B2" s="1" t="s">
        <v>48</v>
      </c>
      <c r="C2" s="3">
        <v>7.5375117894195362E-2</v>
      </c>
    </row>
    <row r="3" spans="1:3" x14ac:dyDescent="0.35">
      <c r="A3" s="4" t="s">
        <v>47</v>
      </c>
      <c r="B3" s="1" t="s">
        <v>49</v>
      </c>
      <c r="C3" s="3">
        <v>4.7637500000000006E-2</v>
      </c>
    </row>
    <row r="4" spans="1:3" x14ac:dyDescent="0.35">
      <c r="A4" s="4" t="s">
        <v>47</v>
      </c>
      <c r="B4" s="1" t="s">
        <v>50</v>
      </c>
      <c r="C4" s="3">
        <v>6.5419285215514586E-2</v>
      </c>
    </row>
    <row r="5" spans="1:3" x14ac:dyDescent="0.35">
      <c r="A5" s="4" t="s">
        <v>47</v>
      </c>
      <c r="B5" s="1" t="s">
        <v>51</v>
      </c>
      <c r="C5" s="3">
        <v>0.06</v>
      </c>
    </row>
    <row r="6" spans="1:3" x14ac:dyDescent="0.35">
      <c r="A6" t="s">
        <v>53</v>
      </c>
      <c r="B6" s="1" t="s">
        <v>54</v>
      </c>
      <c r="C6" s="3">
        <v>7.0000000000000048E-2</v>
      </c>
    </row>
    <row r="7" spans="1:3" x14ac:dyDescent="0.35">
      <c r="A7" t="s">
        <v>53</v>
      </c>
      <c r="B7" s="1" t="s">
        <v>49</v>
      </c>
      <c r="C7" s="3">
        <v>4.7522388059701506E-2</v>
      </c>
    </row>
    <row r="8" spans="1:3" x14ac:dyDescent="0.35">
      <c r="A8" t="s">
        <v>53</v>
      </c>
      <c r="B8" s="1" t="s">
        <v>50</v>
      </c>
      <c r="C8" s="3">
        <v>6.5528756957328307E-2</v>
      </c>
    </row>
    <row r="9" spans="1:3" x14ac:dyDescent="0.35">
      <c r="A9" t="s">
        <v>53</v>
      </c>
      <c r="B9" s="1" t="s">
        <v>55</v>
      </c>
      <c r="C9" s="3">
        <v>0.06</v>
      </c>
    </row>
    <row r="10" spans="1:3" x14ac:dyDescent="0.35">
      <c r="A10" t="s">
        <v>62</v>
      </c>
      <c r="B10" s="1" t="s">
        <v>63</v>
      </c>
      <c r="C10" s="2">
        <v>4.5448641834971826E-2</v>
      </c>
    </row>
    <row r="11" spans="1:3" x14ac:dyDescent="0.35">
      <c r="A11" t="s">
        <v>62</v>
      </c>
      <c r="B11" s="1" t="s">
        <v>70</v>
      </c>
      <c r="C11" s="3">
        <v>1.7066593849199577E-2</v>
      </c>
    </row>
    <row r="12" spans="1:3" x14ac:dyDescent="0.35">
      <c r="A12" t="s">
        <v>62</v>
      </c>
      <c r="B12" s="1" t="s">
        <v>64</v>
      </c>
      <c r="C12" s="3">
        <v>2.9820293494467551E-2</v>
      </c>
    </row>
    <row r="13" spans="1:3" x14ac:dyDescent="0.35">
      <c r="B13" s="1"/>
    </row>
    <row r="14" spans="1:3" x14ac:dyDescent="0.35">
      <c r="B14" s="1"/>
    </row>
    <row r="15" spans="1:3" x14ac:dyDescent="0.35">
      <c r="B15" s="1"/>
    </row>
    <row r="16" spans="1:3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x14ac:dyDescent="0.35">
      <c r="B28" s="1"/>
    </row>
    <row r="29" spans="2:2" x14ac:dyDescent="0.35">
      <c r="B29" s="1"/>
    </row>
    <row r="30" spans="2:2" x14ac:dyDescent="0.35">
      <c r="B30" s="1"/>
    </row>
    <row r="31" spans="2:2" x14ac:dyDescent="0.35">
      <c r="B31" s="1"/>
    </row>
    <row r="32" spans="2:2" x14ac:dyDescent="0.35">
      <c r="B32" s="1"/>
    </row>
    <row r="33" spans="2:2" x14ac:dyDescent="0.35">
      <c r="B33" s="1"/>
    </row>
    <row r="34" spans="2:2" x14ac:dyDescent="0.35">
      <c r="B34" s="1"/>
    </row>
    <row r="35" spans="2:2" x14ac:dyDescent="0.35">
      <c r="B35" s="1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  <row r="39" spans="2:2" x14ac:dyDescent="0.35">
      <c r="B39" s="1"/>
    </row>
    <row r="40" spans="2:2" x14ac:dyDescent="0.35">
      <c r="B40" s="1"/>
    </row>
    <row r="41" spans="2:2" x14ac:dyDescent="0.35">
      <c r="B41" s="1"/>
    </row>
    <row r="42" spans="2:2" x14ac:dyDescent="0.35">
      <c r="B42" s="1"/>
    </row>
    <row r="43" spans="2:2" x14ac:dyDescent="0.35">
      <c r="B43" s="1"/>
    </row>
    <row r="44" spans="2:2" x14ac:dyDescent="0.35">
      <c r="B44" s="1"/>
    </row>
    <row r="45" spans="2:2" x14ac:dyDescent="0.35">
      <c r="B45" s="1"/>
    </row>
    <row r="46" spans="2:2" x14ac:dyDescent="0.35">
      <c r="B46" s="1"/>
    </row>
    <row r="47" spans="2:2" x14ac:dyDescent="0.35">
      <c r="B47" s="1"/>
    </row>
    <row r="48" spans="2:2" x14ac:dyDescent="0.35">
      <c r="B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Corporate</vt:lpstr>
      <vt:lpstr>Sheet1</vt:lpstr>
      <vt:lpstr>Retail</vt:lpstr>
      <vt:lpstr>SMB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Rockson</dc:creator>
  <cp:lastModifiedBy>Prince Acquah  Rockson</cp:lastModifiedBy>
  <dcterms:created xsi:type="dcterms:W3CDTF">2015-06-05T18:17:20Z</dcterms:created>
  <dcterms:modified xsi:type="dcterms:W3CDTF">2026-04-17T12:07:51Z</dcterms:modified>
</cp:coreProperties>
</file>